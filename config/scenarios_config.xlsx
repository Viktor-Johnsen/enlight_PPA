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ktorjohnsen/Repos/MSc repos/enlight_PPA/config/"/>
    </mc:Choice>
  </mc:AlternateContent>
  <xr:revisionPtr revIDLastSave="0" documentId="13_ncr:1_{9B94DF79-C1A4-B641-9B4D-546D39F1E028}" xr6:coauthVersionLast="47" xr6:coauthVersionMax="47" xr10:uidLastSave="{00000000-0000-0000-0000-000000000000}"/>
  <bookViews>
    <workbookView xWindow="0" yWindow="500" windowWidth="28800" windowHeight="15900" tabRatio="770" activeTab="1" xr2:uid="{B1ABFE2E-6CDF-400C-9622-036A3867AEC5}"/>
  </bookViews>
  <sheets>
    <sheet name="Introduction" sheetId="1" r:id="rId1"/>
    <sheet name="Project setup" sheetId="29" r:id="rId2"/>
    <sheet name="Python" sheetId="16" r:id="rId3"/>
  </sheet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29" l="1"/>
  <c r="J41" i="29" s="1"/>
  <c r="I32" i="29"/>
  <c r="J32" i="29" s="1"/>
  <c r="I25" i="29"/>
  <c r="J25" i="29" s="1"/>
  <c r="I18" i="29"/>
  <c r="J18" i="29" s="1"/>
  <c r="K9" i="29"/>
  <c r="E59" i="16"/>
  <c r="N59" i="16"/>
  <c r="G59" i="16"/>
  <c r="H59" i="16"/>
  <c r="I59" i="16"/>
  <c r="J59" i="16"/>
  <c r="K59" i="16"/>
  <c r="L59" i="16"/>
  <c r="M59" i="16"/>
  <c r="B59" i="16"/>
  <c r="C59" i="16"/>
  <c r="D59" i="16"/>
  <c r="F59" i="16"/>
  <c r="A59" i="16"/>
  <c r="H58" i="16"/>
  <c r="I58" i="16"/>
  <c r="J58" i="16"/>
  <c r="K58" i="16"/>
  <c r="L58" i="16"/>
  <c r="M58" i="16"/>
  <c r="N58" i="16"/>
  <c r="F58" i="16"/>
  <c r="G58" i="16"/>
  <c r="B58" i="16"/>
  <c r="C58" i="16"/>
  <c r="D58" i="16"/>
  <c r="E58" i="16"/>
  <c r="A58" i="16"/>
  <c r="F56" i="16"/>
  <c r="G56" i="16"/>
  <c r="H56" i="16"/>
  <c r="I56" i="16"/>
  <c r="J56" i="16"/>
  <c r="K56" i="16"/>
  <c r="L56" i="16"/>
  <c r="M56" i="16"/>
  <c r="N56" i="16"/>
  <c r="C56" i="16"/>
  <c r="D56" i="16"/>
  <c r="E56" i="16"/>
  <c r="B56" i="16"/>
  <c r="A56" i="16"/>
  <c r="D19" i="16"/>
  <c r="E19" i="16"/>
  <c r="F19" i="16"/>
  <c r="G19" i="16"/>
  <c r="H19" i="16"/>
  <c r="I19" i="16"/>
  <c r="J19" i="16"/>
  <c r="K19" i="16"/>
  <c r="L19" i="16"/>
  <c r="M19" i="16"/>
  <c r="N19" i="16"/>
  <c r="D20" i="16"/>
  <c r="E20" i="16"/>
  <c r="F20" i="16"/>
  <c r="G20" i="16"/>
  <c r="H20" i="16"/>
  <c r="I20" i="16"/>
  <c r="J20" i="16"/>
  <c r="K20" i="16"/>
  <c r="L20" i="16"/>
  <c r="M20" i="16"/>
  <c r="N20" i="16"/>
  <c r="B19" i="16"/>
  <c r="C19" i="16"/>
  <c r="B20" i="16"/>
  <c r="C20" i="16"/>
  <c r="A20" i="16"/>
  <c r="A19" i="16"/>
  <c r="A55" i="16"/>
  <c r="B55" i="16"/>
  <c r="C55" i="16"/>
  <c r="D55" i="16"/>
  <c r="E55" i="16"/>
  <c r="A57" i="16"/>
  <c r="B57" i="16"/>
  <c r="C57" i="16"/>
  <c r="D57" i="16"/>
  <c r="E57" i="16"/>
  <c r="F57" i="16"/>
  <c r="G57" i="16"/>
  <c r="H57" i="16"/>
  <c r="I57" i="16"/>
  <c r="J57" i="16"/>
  <c r="K57" i="16"/>
  <c r="L57" i="16"/>
  <c r="M57" i="16"/>
  <c r="N57" i="16"/>
  <c r="F55" i="16"/>
  <c r="G55" i="16"/>
  <c r="H55" i="16"/>
  <c r="I55" i="16"/>
  <c r="J55" i="16"/>
  <c r="K55" i="16"/>
  <c r="L55" i="16"/>
  <c r="M55" i="16"/>
  <c r="N55" i="16"/>
  <c r="D18" i="16"/>
  <c r="G18" i="16"/>
  <c r="H18" i="16"/>
  <c r="I18" i="16"/>
  <c r="J18" i="16"/>
  <c r="K18" i="16"/>
  <c r="L18" i="16"/>
  <c r="M18" i="16"/>
  <c r="N18" i="16"/>
  <c r="E18" i="16"/>
  <c r="F18" i="16"/>
  <c r="C18" i="16"/>
  <c r="B18" i="16"/>
  <c r="A18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A14" i="16"/>
  <c r="B14" i="16"/>
  <c r="C14" i="16"/>
  <c r="D14" i="16"/>
  <c r="E14" i="16"/>
  <c r="F14" i="16"/>
  <c r="I14" i="16"/>
  <c r="J14" i="16"/>
  <c r="K14" i="16"/>
  <c r="L14" i="16"/>
  <c r="M14" i="16"/>
  <c r="N14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24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A31" i="16"/>
  <c r="B31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A32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A33" i="16"/>
  <c r="B33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A34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A35" i="16"/>
  <c r="B35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A36" i="16"/>
  <c r="B36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A37" i="16"/>
  <c r="B37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A38" i="16"/>
  <c r="B38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A39" i="16"/>
  <c r="B39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A40" i="16"/>
  <c r="B40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A41" i="16"/>
  <c r="B41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A42" i="16"/>
  <c r="B42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A43" i="16"/>
  <c r="B43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A44" i="16"/>
  <c r="B44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A45" i="16"/>
  <c r="B45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A46" i="16"/>
  <c r="B46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A47" i="16"/>
  <c r="B47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A48" i="16"/>
  <c r="B48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A49" i="16"/>
  <c r="B49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A50" i="16"/>
  <c r="B50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A51" i="16"/>
  <c r="B51" i="16"/>
  <c r="C51" i="16"/>
  <c r="D51" i="16"/>
  <c r="E51" i="16"/>
  <c r="F51" i="16"/>
  <c r="G51" i="16"/>
  <c r="H51" i="16"/>
  <c r="I51" i="16"/>
  <c r="J51" i="16"/>
  <c r="K51" i="16"/>
  <c r="L51" i="16"/>
  <c r="M51" i="16"/>
  <c r="N51" i="16"/>
  <c r="A52" i="16"/>
  <c r="B52" i="16"/>
  <c r="C52" i="16"/>
  <c r="D52" i="16"/>
  <c r="E52" i="16"/>
  <c r="F52" i="16"/>
  <c r="G52" i="16"/>
  <c r="H52" i="16"/>
  <c r="I52" i="16"/>
  <c r="J52" i="16"/>
  <c r="K52" i="16"/>
  <c r="L52" i="16"/>
  <c r="M52" i="16"/>
  <c r="N52" i="16"/>
  <c r="A53" i="16"/>
  <c r="B53" i="16"/>
  <c r="C53" i="16"/>
  <c r="D53" i="16"/>
  <c r="E53" i="16"/>
  <c r="F53" i="16"/>
  <c r="G53" i="16"/>
  <c r="H53" i="16"/>
  <c r="I53" i="16"/>
  <c r="J53" i="16"/>
  <c r="K53" i="16"/>
  <c r="L53" i="16"/>
  <c r="M53" i="16"/>
  <c r="N53" i="16"/>
  <c r="A54" i="16"/>
  <c r="B54" i="16"/>
  <c r="C54" i="16"/>
  <c r="D54" i="16"/>
  <c r="E54" i="16"/>
  <c r="F54" i="16"/>
  <c r="G54" i="16"/>
  <c r="H54" i="16"/>
  <c r="I54" i="16"/>
  <c r="J54" i="16"/>
  <c r="K54" i="16"/>
  <c r="L54" i="16"/>
  <c r="M54" i="16"/>
  <c r="N54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2" i="16"/>
  <c r="B1" i="16"/>
  <c r="C1" i="16"/>
  <c r="D1" i="16"/>
  <c r="E1" i="16"/>
  <c r="F1" i="16"/>
  <c r="G1" i="16"/>
  <c r="H1" i="16"/>
  <c r="I1" i="16"/>
  <c r="J1" i="16"/>
  <c r="K1" i="16"/>
  <c r="L1" i="16"/>
  <c r="M1" i="16"/>
  <c r="N1" i="16"/>
  <c r="A1" i="16"/>
  <c r="G14" i="16" l="1"/>
  <c r="K41" i="29"/>
  <c r="H14" i="16" s="1"/>
  <c r="K32" i="29"/>
  <c r="H11" i="16" s="1"/>
  <c r="G11" i="16"/>
  <c r="K25" i="29"/>
  <c r="H8" i="16" s="1"/>
  <c r="G8" i="16"/>
  <c r="G5" i="16"/>
  <c r="K18" i="29"/>
  <c r="H5" i="1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F72F61-F6F1-433C-A69D-F2B6299B467B}" keepAlive="1" name="Query - todo" description="Connection to the 'todo' query in the workbook." type="5" refreshedVersion="0" background="1" saveData="1">
    <dbPr connection="Provider=Microsoft.Mashup.OleDb.1;Data Source=$Workbook$;Location=todo;Extended Properties=&quot;&quot;" command="SELECT * FROM [todo]"/>
  </connection>
</connections>
</file>

<file path=xl/sharedStrings.xml><?xml version="1.0" encoding="utf-8"?>
<sst xmlns="http://schemas.openxmlformats.org/spreadsheetml/2006/main" count="786" uniqueCount="176">
  <si>
    <t>Version:</t>
  </si>
  <si>
    <t>1.1 Contact Persons</t>
  </si>
  <si>
    <t>E-mail:</t>
  </si>
  <si>
    <t>Telephone:</t>
  </si>
  <si>
    <t>Søren Møller Thomsen</t>
  </si>
  <si>
    <t>SMT@ramboll.com</t>
  </si>
  <si>
    <t>0045 51612421</t>
  </si>
  <si>
    <t>%</t>
  </si>
  <si>
    <t>Marco Saretta</t>
  </si>
  <si>
    <t>MCSR@ramboll.com</t>
  </si>
  <si>
    <t>0045 60361204</t>
  </si>
  <si>
    <t>float</t>
  </si>
  <si>
    <t>int</t>
  </si>
  <si>
    <t>00. System configuration</t>
  </si>
  <si>
    <t>Year</t>
  </si>
  <si>
    <t>Project setup</t>
  </si>
  <si>
    <t>Project timeline</t>
  </si>
  <si>
    <t>Solar PV</t>
  </si>
  <si>
    <t>SETUP</t>
  </si>
  <si>
    <t>ENLIGHT</t>
  </si>
  <si>
    <t>Prediction year</t>
  </si>
  <si>
    <t>Weather year</t>
  </si>
  <si>
    <t>Capacity expansion file</t>
  </si>
  <si>
    <t>Bid price</t>
  </si>
  <si>
    <t>wind_onshore_cap_file</t>
  </si>
  <si>
    <t>wind_onshore_bid_price</t>
  </si>
  <si>
    <t>Run of river</t>
  </si>
  <si>
    <t>Reservoir hydro</t>
  </si>
  <si>
    <t>Pumped hydro</t>
  </si>
  <si>
    <t>Thermal generators</t>
  </si>
  <si>
    <t>Lines</t>
  </si>
  <si>
    <t>2.1.0</t>
  </si>
  <si>
    <t>Wind generation</t>
  </si>
  <si>
    <t>Onshore wind</t>
  </si>
  <si>
    <t>Offshore wind</t>
  </si>
  <si>
    <t>Hydro power</t>
  </si>
  <si>
    <t>Industry baseload</t>
  </si>
  <si>
    <t>Households baseload</t>
  </si>
  <si>
    <t>EV baseload</t>
  </si>
  <si>
    <t>Flex demand</t>
  </si>
  <si>
    <t>Industry flexload</t>
  </si>
  <si>
    <t>Households flexload</t>
  </si>
  <si>
    <t>EV flexload</t>
  </si>
  <si>
    <t>-</t>
  </si>
  <si>
    <t>EUR/MWh</t>
  </si>
  <si>
    <t>WIND_ON</t>
  </si>
  <si>
    <t>WIND_OFF</t>
  </si>
  <si>
    <t>SOLAR</t>
  </si>
  <si>
    <t>THERMAL</t>
  </si>
  <si>
    <t>TYNDP_2024_National_Trends</t>
  </si>
  <si>
    <t>wind_onshore_wy</t>
  </si>
  <si>
    <t>wind_offshore_wy</t>
  </si>
  <si>
    <t>wind_offshore_cap_file</t>
  </si>
  <si>
    <t>wind_offshore_bid_price</t>
  </si>
  <si>
    <t>hydro_ror_wy</t>
  </si>
  <si>
    <t>hydro_ror_cap_file</t>
  </si>
  <si>
    <t>hydro_ror_bid_price</t>
  </si>
  <si>
    <t>hydro_res_bid_price</t>
  </si>
  <si>
    <t>Profile year</t>
  </si>
  <si>
    <t>VOLL</t>
  </si>
  <si>
    <t>HYDRO_RES</t>
  </si>
  <si>
    <t>HYDRO_ROR</t>
  </si>
  <si>
    <t>scenario_1</t>
  </si>
  <si>
    <t>scenario_2</t>
  </si>
  <si>
    <t>scenario_3</t>
  </si>
  <si>
    <t>scenario_4</t>
  </si>
  <si>
    <t>scenario_5</t>
  </si>
  <si>
    <t>scenario_6</t>
  </si>
  <si>
    <t>scenario_7</t>
  </si>
  <si>
    <t>scenario_8</t>
  </si>
  <si>
    <t>scenario_9</t>
  </si>
  <si>
    <t>scenario_10</t>
  </si>
  <si>
    <t>Inflex demand</t>
  </si>
  <si>
    <t>DEMAND_INF_IND</t>
  </si>
  <si>
    <t>DEMAND_INF_HOU</t>
  </si>
  <si>
    <t>DEMAND_INF_PUB</t>
  </si>
  <si>
    <t>DEMAND_INF_EV</t>
  </si>
  <si>
    <t>DEMAND_FLEX_IND</t>
  </si>
  <si>
    <t>DEMAND_FLEX_HOU</t>
  </si>
  <si>
    <t>DEMAND_FLEX_PUB</t>
  </si>
  <si>
    <t>DEMAND_FLEX_EV</t>
  </si>
  <si>
    <t>Classic demand flexload</t>
  </si>
  <si>
    <t>DEMAND_FLEX_CLA</t>
  </si>
  <si>
    <t>DEMAND_INF_CLA</t>
  </si>
  <si>
    <t>Classic baseload</t>
  </si>
  <si>
    <t>Fuel price projection</t>
  </si>
  <si>
    <t>prediction_year</t>
  </si>
  <si>
    <t>Capacity projection file</t>
  </si>
  <si>
    <t>solar_pv_wy</t>
  </si>
  <si>
    <t>solar_pv_cap_file</t>
  </si>
  <si>
    <t>solar_pv_bid_price</t>
  </si>
  <si>
    <t>Energy availability weather year</t>
  </si>
  <si>
    <t>hydro_ph_fuel_proj</t>
  </si>
  <si>
    <t>thermal_fuel_proj</t>
  </si>
  <si>
    <t>str</t>
  </si>
  <si>
    <t>ramboll</t>
  </si>
  <si>
    <t>Lines capacity file</t>
  </si>
  <si>
    <t>line_cap_file</t>
  </si>
  <si>
    <t>demand_inf_cla_py</t>
  </si>
  <si>
    <t>demand_inf_cla_voll</t>
  </si>
  <si>
    <t>Total demand amount file</t>
  </si>
  <si>
    <t>demand_inf_ind_py</t>
  </si>
  <si>
    <t>demand_inf_ind_voll</t>
  </si>
  <si>
    <t>demand_inf_hou_py</t>
  </si>
  <si>
    <t>demand_inf_hou_voll</t>
  </si>
  <si>
    <t>Public sector baseload</t>
  </si>
  <si>
    <t>demand_inf_pub_py</t>
  </si>
  <si>
    <t>demand_inf_pub_voll</t>
  </si>
  <si>
    <t>demand_inf_ev_py</t>
  </si>
  <si>
    <t>demand_inf_ev_voll</t>
  </si>
  <si>
    <t>Public sector flexload</t>
  </si>
  <si>
    <t>label</t>
  </si>
  <si>
    <t>key</t>
  </si>
  <si>
    <t>format</t>
  </si>
  <si>
    <t>unit</t>
  </si>
  <si>
    <t xml:space="preserve"> </t>
  </si>
  <si>
    <t>Flex demand amount file</t>
  </si>
  <si>
    <t>Flex demand capacity</t>
  </si>
  <si>
    <t>Willingness to pay</t>
  </si>
  <si>
    <t>demand_flex_cla_wtp</t>
  </si>
  <si>
    <t>demand_flex_cla_cap_file</t>
  </si>
  <si>
    <t>demand_flex_cla_amount_file</t>
  </si>
  <si>
    <t>demand_inf_cla_amount_file</t>
  </si>
  <si>
    <t>demand_inf_ind_amount_file</t>
  </si>
  <si>
    <t>demand_inf_hou_amount_file</t>
  </si>
  <si>
    <t>demand_inf_pub_amount_file</t>
  </si>
  <si>
    <t>demand_inf_ev_amount_file</t>
  </si>
  <si>
    <t>demand_flex_ind_amount_file</t>
  </si>
  <si>
    <t>demand_flex_ind_cap_file</t>
  </si>
  <si>
    <t>demand_flex_ind_wtp</t>
  </si>
  <si>
    <t>demand_flex_hou_amount_file</t>
  </si>
  <si>
    <t>demand_flex_hou_cap_file</t>
  </si>
  <si>
    <t>demand_flex_hou_wtp</t>
  </si>
  <si>
    <t>demand_flex_pub_amount_file</t>
  </si>
  <si>
    <t>demand_flex_pub_cap_file</t>
  </si>
  <si>
    <t>demand_flex_pub_wtp</t>
  </si>
  <si>
    <t>demand_flex_ev_amount_file</t>
  </si>
  <si>
    <t>demand_flex_ev_cap_file</t>
  </si>
  <si>
    <t>demand_flex_ev_wtp</t>
  </si>
  <si>
    <t>hydro_res_energy_wy</t>
  </si>
  <si>
    <t>hydro_res_units_file</t>
  </si>
  <si>
    <t>Reservoir hydro units file</t>
  </si>
  <si>
    <t>hydro_reservoir_units</t>
  </si>
  <si>
    <t>thermal_plant_units</t>
  </si>
  <si>
    <t>thermal_units_file</t>
  </si>
  <si>
    <t>Thermal units file</t>
  </si>
  <si>
    <t>entsoe</t>
  </si>
  <si>
    <t>LINES</t>
  </si>
  <si>
    <t>HYDRO_PS</t>
  </si>
  <si>
    <t>hydro_pumped_storage_units</t>
  </si>
  <si>
    <t>Pumped hydro storage file</t>
  </si>
  <si>
    <t>hydro_ps_units_file</t>
  </si>
  <si>
    <t>BESS</t>
  </si>
  <si>
    <t>BESS units file</t>
  </si>
  <si>
    <t>bess_units_file</t>
  </si>
  <si>
    <t>bess_roundtrip</t>
  </si>
  <si>
    <t>0.85</t>
  </si>
  <si>
    <t>bess_units</t>
  </si>
  <si>
    <t>Initial state-of-charge</t>
  </si>
  <si>
    <t>Roundtrip efficiency</t>
  </si>
  <si>
    <t>hydro_ps_roundtrip</t>
  </si>
  <si>
    <t>0.5</t>
  </si>
  <si>
    <t>bess_initial_soc</t>
  </si>
  <si>
    <t>hydro_ps_initial_soc</t>
  </si>
  <si>
    <t>PtX</t>
  </si>
  <si>
    <t>PtX units file</t>
  </si>
  <si>
    <t>PTX</t>
  </si>
  <si>
    <t>ptx_units_file</t>
  </si>
  <si>
    <t>DH</t>
  </si>
  <si>
    <t>DH units file</t>
  </si>
  <si>
    <t>dh_units_file</t>
  </si>
  <si>
    <t>district_heating_units</t>
  </si>
  <si>
    <t>2023</t>
  </si>
  <si>
    <t>2021</t>
  </si>
  <si>
    <t>2020</t>
  </si>
  <si>
    <t>ptx_units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</si>
</sst>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ptos"/>
      <family val="2"/>
      <scheme val="minor"/>
    </font>
    <font>
      <sz val="9"/>
      <color theme="1"/>
      <name val="Verdana"/>
      <family val="2"/>
    </font>
    <font>
      <sz val="8"/>
      <name val="Aptos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"/>
      <family val="2"/>
      <scheme val="minor"/>
    </font>
    <font>
      <sz val="11"/>
      <color theme="1"/>
      <name val="Aptos"/>
      <family val="2"/>
      <scheme val="minor"/>
    </font>
    <font>
      <b/>
      <sz val="15"/>
      <color theme="3"/>
      <name val="Aptos"/>
      <family val="2"/>
      <scheme val="minor"/>
    </font>
    <font>
      <sz val="11"/>
      <color theme="1"/>
      <name val="Garamond"/>
      <family val="1"/>
    </font>
    <font>
      <b/>
      <sz val="22"/>
      <color theme="3"/>
      <name val="Garamond"/>
      <family val="1"/>
    </font>
    <font>
      <sz val="10"/>
      <color theme="1"/>
      <name val="Garamond"/>
      <family val="1"/>
    </font>
    <font>
      <b/>
      <sz val="13"/>
      <color theme="3"/>
      <name val="Garamond"/>
      <family val="2"/>
    </font>
    <font>
      <b/>
      <sz val="22"/>
      <color theme="3"/>
      <name val="Aptos"/>
      <family val="2"/>
      <scheme val="minor"/>
    </font>
    <font>
      <b/>
      <sz val="20"/>
      <color theme="1"/>
      <name val="Aptos"/>
      <family val="2"/>
      <scheme val="minor"/>
    </font>
    <font>
      <b/>
      <i/>
      <sz val="11"/>
      <color theme="1"/>
      <name val="Aptos"/>
      <family val="2"/>
      <scheme val="minor"/>
    </font>
    <font>
      <b/>
      <sz val="18"/>
      <color theme="3"/>
      <name val="Aptos"/>
      <family val="2"/>
      <scheme val="minor"/>
    </font>
    <font>
      <sz val="10"/>
      <color theme="1"/>
      <name val="Aptos"/>
      <family val="2"/>
      <scheme val="minor"/>
    </font>
    <font>
      <sz val="10"/>
      <color theme="1"/>
      <name val="Garamond"/>
      <family val="2"/>
    </font>
    <font>
      <b/>
      <sz val="10"/>
      <color theme="0"/>
      <name val="Aptos"/>
      <family val="2"/>
      <scheme val="major"/>
    </font>
    <font>
      <b/>
      <sz val="13"/>
      <color theme="3"/>
      <name val="Aptos"/>
      <family val="2"/>
      <scheme val="minor"/>
    </font>
    <font>
      <sz val="11"/>
      <color indexed="8"/>
      <name val="Aptos"/>
      <family val="2"/>
      <scheme val="minor"/>
    </font>
    <font>
      <sz val="11"/>
      <color rgb="FF006100"/>
      <name val="Aptos"/>
      <family val="2"/>
      <scheme val="minor"/>
    </font>
    <font>
      <sz val="11"/>
      <color theme="1"/>
      <name val="Aptos"/>
      <family val="2"/>
    </font>
    <font>
      <sz val="11"/>
      <color theme="1"/>
      <name val="Aptos"/>
      <family val="2"/>
      <scheme val="major"/>
    </font>
    <font>
      <b/>
      <i/>
      <sz val="10"/>
      <color theme="3"/>
      <name val="Aptos"/>
      <family val="2"/>
      <scheme val="major"/>
    </font>
    <font>
      <b/>
      <i/>
      <sz val="11"/>
      <color theme="3"/>
      <name val="Aptos"/>
      <family val="2"/>
      <scheme val="major"/>
    </font>
    <font>
      <sz val="10"/>
      <color theme="1"/>
      <name val="Aptos Light"/>
      <family val="2"/>
    </font>
    <font>
      <sz val="10"/>
      <color theme="8"/>
      <name val="Aptos Light"/>
      <family val="2"/>
    </font>
    <font>
      <sz val="11"/>
      <name val="Aptos Light"/>
      <family val="2"/>
    </font>
    <font>
      <b/>
      <sz val="14"/>
      <color theme="3"/>
      <name val="Aptos"/>
      <family val="2"/>
      <scheme val="minor"/>
    </font>
    <font>
      <b/>
      <sz val="11"/>
      <color theme="3"/>
      <name val="Aptos"/>
      <family val="2"/>
      <scheme val="major"/>
    </font>
    <font>
      <b/>
      <sz val="14"/>
      <color theme="1"/>
      <name val="Aptos"/>
      <family val="2"/>
      <scheme val="major"/>
    </font>
    <font>
      <sz val="11"/>
      <name val="Aptos Light"/>
    </font>
    <font>
      <b/>
      <sz val="11"/>
      <color theme="0"/>
      <name val="Aptos Light"/>
    </font>
    <font>
      <sz val="10"/>
      <name val="Aptos Light"/>
    </font>
    <font>
      <sz val="11"/>
      <color theme="8"/>
      <name val="Aptos Ligh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5" fillId="0" borderId="0"/>
    <xf numFmtId="0" fontId="10" fillId="0" borderId="2" applyNumberFormat="0" applyFill="0" applyAlignment="0" applyProtection="0"/>
    <xf numFmtId="0" fontId="16" fillId="0" borderId="0"/>
    <xf numFmtId="0" fontId="18" fillId="0" borderId="2" applyNumberFormat="0" applyFill="0" applyAlignment="0" applyProtection="0"/>
    <xf numFmtId="0" fontId="19" fillId="0" borderId="0"/>
    <xf numFmtId="9" fontId="5" fillId="0" borderId="0" applyFont="0" applyFill="0" applyBorder="0" applyAlignment="0" applyProtection="0"/>
    <xf numFmtId="0" fontId="20" fillId="3" borderId="0" applyNumberFormat="0" applyBorder="0" applyAlignment="0" applyProtection="0"/>
  </cellStyleXfs>
  <cellXfs count="91">
    <xf numFmtId="0" fontId="0" fillId="0" borderId="0" xfId="0"/>
    <xf numFmtId="0" fontId="7" fillId="2" borderId="0" xfId="0" applyFont="1" applyFill="1"/>
    <xf numFmtId="0" fontId="8" fillId="2" borderId="1" xfId="3" applyFont="1" applyFill="1"/>
    <xf numFmtId="0" fontId="9" fillId="2" borderId="0" xfId="4" applyFont="1" applyFill="1"/>
    <xf numFmtId="0" fontId="0" fillId="2" borderId="0" xfId="0" applyFill="1"/>
    <xf numFmtId="0" fontId="3" fillId="2" borderId="0" xfId="0" applyFont="1" applyFill="1"/>
    <xf numFmtId="0" fontId="11" fillId="2" borderId="1" xfId="3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2" xfId="5" applyFont="1" applyFill="1"/>
    <xf numFmtId="0" fontId="15" fillId="2" borderId="0" xfId="0" applyFont="1" applyFill="1"/>
    <xf numFmtId="0" fontId="4" fillId="2" borderId="0" xfId="2" applyFill="1"/>
    <xf numFmtId="0" fontId="4" fillId="0" borderId="0" xfId="2"/>
    <xf numFmtId="3" fontId="0" fillId="0" borderId="0" xfId="0" quotePrefix="1" applyNumberFormat="1"/>
    <xf numFmtId="2" fontId="0" fillId="0" borderId="0" xfId="0" applyNumberFormat="1"/>
    <xf numFmtId="0" fontId="21" fillId="2" borderId="0" xfId="0" applyFont="1" applyFill="1"/>
    <xf numFmtId="0" fontId="21" fillId="0" borderId="0" xfId="0" applyFont="1"/>
    <xf numFmtId="0" fontId="11" fillId="2" borderId="1" xfId="3" applyFont="1" applyFill="1" applyAlignment="1">
      <alignment horizontal="center"/>
    </xf>
    <xf numFmtId="0" fontId="17" fillId="4" borderId="5" xfId="0" applyFont="1" applyFill="1" applyBorder="1" applyAlignment="1">
      <alignment horizontal="left" vertical="center"/>
    </xf>
    <xf numFmtId="0" fontId="17" fillId="4" borderId="9" xfId="0" applyFont="1" applyFill="1" applyBorder="1" applyAlignment="1">
      <alignment horizontal="left" vertical="center"/>
    </xf>
    <xf numFmtId="0" fontId="17" fillId="4" borderId="7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5" fillId="2" borderId="4" xfId="0" applyFont="1" applyFill="1" applyBorder="1" applyAlignment="1">
      <alignment vertical="center"/>
    </xf>
    <xf numFmtId="0" fontId="25" fillId="2" borderId="8" xfId="0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0" fontId="25" fillId="2" borderId="10" xfId="0" applyFont="1" applyFill="1" applyBorder="1" applyAlignment="1">
      <alignment vertical="center"/>
    </xf>
    <xf numFmtId="4" fontId="26" fillId="2" borderId="13" xfId="0" applyNumberFormat="1" applyFont="1" applyFill="1" applyBorder="1" applyAlignment="1">
      <alignment horizontal="center" vertical="center"/>
    </xf>
    <xf numFmtId="0" fontId="18" fillId="0" borderId="2" xfId="7"/>
    <xf numFmtId="0" fontId="18" fillId="0" borderId="2" xfId="7" quotePrefix="1"/>
    <xf numFmtId="1" fontId="18" fillId="0" borderId="2" xfId="7" applyNumberFormat="1" applyAlignment="1">
      <alignment horizontal="right"/>
    </xf>
    <xf numFmtId="0" fontId="28" fillId="0" borderId="2" xfId="7" applyFont="1" applyAlignment="1">
      <alignment horizontal="left"/>
    </xf>
    <xf numFmtId="0" fontId="28" fillId="0" borderId="2" xfId="7" applyFont="1"/>
    <xf numFmtId="0" fontId="25" fillId="2" borderId="0" xfId="0" applyFont="1" applyFill="1" applyAlignment="1">
      <alignment vertical="center"/>
    </xf>
    <xf numFmtId="4" fontId="26" fillId="2" borderId="0" xfId="0" applyNumberFormat="1" applyFont="1" applyFill="1" applyAlignment="1">
      <alignment horizontal="center" vertical="center"/>
    </xf>
    <xf numFmtId="9" fontId="25" fillId="0" borderId="13" xfId="9" applyFont="1" applyFill="1" applyBorder="1" applyAlignment="1">
      <alignment horizontal="center" vertical="center"/>
    </xf>
    <xf numFmtId="9" fontId="25" fillId="0" borderId="13" xfId="9" applyFont="1" applyFill="1" applyBorder="1" applyAlignment="1">
      <alignment horizontal="left" vertical="center"/>
    </xf>
    <xf numFmtId="9" fontId="25" fillId="0" borderId="0" xfId="9" applyFont="1" applyFill="1" applyBorder="1" applyAlignment="1">
      <alignment horizontal="center" vertical="center"/>
    </xf>
    <xf numFmtId="9" fontId="25" fillId="0" borderId="0" xfId="9" applyFont="1" applyFill="1" applyBorder="1" applyAlignment="1">
      <alignment horizontal="left" vertical="center"/>
    </xf>
    <xf numFmtId="9" fontId="25" fillId="0" borderId="12" xfId="9" applyFont="1" applyFill="1" applyBorder="1" applyAlignment="1">
      <alignment horizontal="center" vertical="center"/>
    </xf>
    <xf numFmtId="9" fontId="0" fillId="0" borderId="0" xfId="0" applyNumberFormat="1"/>
    <xf numFmtId="0" fontId="11" fillId="2" borderId="1" xfId="3" applyFont="1" applyFill="1" applyAlignment="1">
      <alignment horizontal="left"/>
    </xf>
    <xf numFmtId="9" fontId="25" fillId="0" borderId="12" xfId="9" applyFont="1" applyFill="1" applyBorder="1" applyAlignment="1">
      <alignment horizontal="left" vertical="center"/>
    </xf>
    <xf numFmtId="4" fontId="26" fillId="2" borderId="12" xfId="0" applyNumberFormat="1" applyFont="1" applyFill="1" applyBorder="1" applyAlignment="1">
      <alignment horizontal="center" vertical="center"/>
    </xf>
    <xf numFmtId="2" fontId="27" fillId="5" borderId="12" xfId="9" applyNumberFormat="1" applyFont="1" applyFill="1" applyBorder="1" applyAlignment="1">
      <alignment horizontal="center" vertical="center"/>
    </xf>
    <xf numFmtId="2" fontId="27" fillId="5" borderId="13" xfId="9" applyNumberFormat="1" applyFont="1" applyFill="1" applyBorder="1" applyAlignment="1">
      <alignment horizontal="center" vertical="center"/>
    </xf>
    <xf numFmtId="2" fontId="27" fillId="5" borderId="12" xfId="9" applyNumberFormat="1" applyFont="1" applyFill="1" applyBorder="1" applyAlignment="1">
      <alignment horizontal="center" vertical="center" wrapText="1"/>
    </xf>
    <xf numFmtId="49" fontId="27" fillId="5" borderId="12" xfId="9" applyNumberFormat="1" applyFont="1" applyFill="1" applyBorder="1" applyAlignment="1">
      <alignment horizontal="center" vertical="center"/>
    </xf>
    <xf numFmtId="0" fontId="29" fillId="0" borderId="14" xfId="1" applyFont="1" applyBorder="1" applyAlignment="1">
      <alignment horizontal="left" vertical="center"/>
    </xf>
    <xf numFmtId="0" fontId="30" fillId="0" borderId="14" xfId="1" applyFont="1" applyBorder="1" applyAlignment="1">
      <alignment horizontal="left" vertical="top"/>
    </xf>
    <xf numFmtId="0" fontId="27" fillId="5" borderId="12" xfId="9" applyNumberFormat="1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vertical="center"/>
    </xf>
    <xf numFmtId="0" fontId="25" fillId="2" borderId="16" xfId="0" applyFont="1" applyFill="1" applyBorder="1" applyAlignment="1">
      <alignment vertical="center"/>
    </xf>
    <xf numFmtId="9" fontId="25" fillId="0" borderId="17" xfId="9" applyFont="1" applyFill="1" applyBorder="1" applyAlignment="1">
      <alignment horizontal="center" vertical="center"/>
    </xf>
    <xf numFmtId="9" fontId="25" fillId="0" borderId="17" xfId="9" applyFont="1" applyFill="1" applyBorder="1" applyAlignment="1">
      <alignment horizontal="left" vertical="center"/>
    </xf>
    <xf numFmtId="4" fontId="26" fillId="2" borderId="17" xfId="0" applyNumberFormat="1" applyFont="1" applyFill="1" applyBorder="1" applyAlignment="1">
      <alignment horizontal="center" vertical="center"/>
    </xf>
    <xf numFmtId="0" fontId="27" fillId="5" borderId="17" xfId="10" applyNumberFormat="1" applyFont="1" applyFill="1" applyBorder="1" applyAlignment="1">
      <alignment horizontal="center" vertical="center"/>
    </xf>
    <xf numFmtId="49" fontId="27" fillId="5" borderId="17" xfId="9" applyNumberFormat="1" applyFont="1" applyFill="1" applyBorder="1" applyAlignment="1">
      <alignment horizontal="center" vertical="center"/>
    </xf>
    <xf numFmtId="2" fontId="27" fillId="5" borderId="17" xfId="9" applyNumberFormat="1" applyFont="1" applyFill="1" applyBorder="1" applyAlignment="1">
      <alignment horizontal="center" vertical="center"/>
    </xf>
    <xf numFmtId="2" fontId="27" fillId="5" borderId="18" xfId="9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1" fillId="5" borderId="15" xfId="0" applyFont="1" applyFill="1" applyBorder="1" applyAlignment="1">
      <alignment horizontal="center" vertical="center"/>
    </xf>
    <xf numFmtId="0" fontId="32" fillId="5" borderId="15" xfId="0" applyFont="1" applyFill="1" applyBorder="1" applyAlignment="1">
      <alignment horizontal="center" vertical="center"/>
    </xf>
    <xf numFmtId="0" fontId="32" fillId="5" borderId="17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left" vertical="center"/>
    </xf>
    <xf numFmtId="0" fontId="33" fillId="0" borderId="16" xfId="0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center"/>
    </xf>
    <xf numFmtId="2" fontId="34" fillId="0" borderId="15" xfId="0" applyNumberFormat="1" applyFont="1" applyBorder="1" applyAlignment="1">
      <alignment horizontal="center" vertical="center"/>
    </xf>
    <xf numFmtId="0" fontId="33" fillId="0" borderId="15" xfId="0" applyFont="1" applyBorder="1" applyAlignment="1">
      <alignment horizontal="left" vertical="center"/>
    </xf>
    <xf numFmtId="0" fontId="25" fillId="2" borderId="19" xfId="0" applyFont="1" applyFill="1" applyBorder="1" applyAlignment="1">
      <alignment vertical="center"/>
    </xf>
    <xf numFmtId="0" fontId="25" fillId="2" borderId="20" xfId="0" applyFont="1" applyFill="1" applyBorder="1" applyAlignment="1">
      <alignment vertical="center"/>
    </xf>
    <xf numFmtId="9" fontId="25" fillId="0" borderId="18" xfId="9" applyFont="1" applyFill="1" applyBorder="1" applyAlignment="1">
      <alignment horizontal="center" vertical="center"/>
    </xf>
    <xf numFmtId="9" fontId="25" fillId="0" borderId="18" xfId="9" applyFont="1" applyFill="1" applyBorder="1" applyAlignment="1">
      <alignment horizontal="left" vertical="center"/>
    </xf>
    <xf numFmtId="4" fontId="26" fillId="2" borderId="18" xfId="0" applyNumberFormat="1" applyFont="1" applyFill="1" applyBorder="1" applyAlignment="1">
      <alignment horizontal="center" vertical="center"/>
    </xf>
    <xf numFmtId="49" fontId="27" fillId="5" borderId="18" xfId="9" applyNumberFormat="1" applyFont="1" applyFill="1" applyBorder="1" applyAlignment="1">
      <alignment horizontal="center" vertical="center"/>
    </xf>
    <xf numFmtId="9" fontId="25" fillId="0" borderId="11" xfId="9" applyFont="1" applyFill="1" applyBorder="1" applyAlignment="1">
      <alignment horizontal="center" vertical="center"/>
    </xf>
    <xf numFmtId="9" fontId="25" fillId="0" borderId="11" xfId="9" applyFont="1" applyFill="1" applyBorder="1" applyAlignment="1">
      <alignment horizontal="left" vertical="center"/>
    </xf>
    <xf numFmtId="4" fontId="26" fillId="2" borderId="11" xfId="0" applyNumberFormat="1" applyFont="1" applyFill="1" applyBorder="1" applyAlignment="1">
      <alignment horizontal="center" vertical="center"/>
    </xf>
    <xf numFmtId="49" fontId="27" fillId="5" borderId="11" xfId="9" applyNumberFormat="1" applyFont="1" applyFill="1" applyBorder="1" applyAlignment="1">
      <alignment horizontal="center" vertical="center"/>
    </xf>
    <xf numFmtId="2" fontId="27" fillId="5" borderId="11" xfId="9" applyNumberFormat="1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vertical="center"/>
    </xf>
    <xf numFmtId="9" fontId="25" fillId="0" borderId="9" xfId="9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vertical="center"/>
    </xf>
    <xf numFmtId="49" fontId="0" fillId="0" borderId="0" xfId="0" applyNumberFormat="1"/>
    <xf numFmtId="0" fontId="27" fillId="5" borderId="18" xfId="9" applyNumberFormat="1" applyFont="1" applyFill="1" applyBorder="1" applyAlignment="1">
      <alignment horizontal="center" vertical="center"/>
    </xf>
  </cellXfs>
  <cellStyles count="11">
    <cellStyle name="Good" xfId="10" builtinId="26"/>
    <cellStyle name="Heading 1 4" xfId="3" xr:uid="{22EB46A9-E7C3-4CB2-BBDB-26F55B9821E1}"/>
    <cellStyle name="Heading 2" xfId="5" builtinId="17"/>
    <cellStyle name="Heading 2 2" xfId="7" xr:uid="{70E61FA6-8E9D-49F6-8D18-8B39D64ED566}"/>
    <cellStyle name="Hyperlink" xfId="2" builtinId="8"/>
    <cellStyle name="Normal" xfId="0" builtinId="0"/>
    <cellStyle name="Normal 2" xfId="8" xr:uid="{4CA64517-6F7E-4C3A-B4FF-F54548F0661B}"/>
    <cellStyle name="Normal 22" xfId="4" xr:uid="{09958DFB-1EFC-42DB-9A71-8C9D01392DD4}"/>
    <cellStyle name="Normal 5" xfId="1" xr:uid="{66A433E9-BADD-4671-83BF-8113F9F212F5}"/>
    <cellStyle name="Normal 7" xfId="6" xr:uid="{0D174020-831D-465B-B24D-5A4FB6DCB50E}"/>
    <cellStyle name="Percent" xfId="9" builtinId="5"/>
  </cellStyles>
  <dxfs count="13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0000CC"/>
      <color rgb="FFFFFF99"/>
      <color rgb="FFC0C0C0"/>
      <color rgb="FFC63418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20</xdr:col>
      <xdr:colOff>23813</xdr:colOff>
      <xdr:row>14</xdr:row>
      <xdr:rowOff>85500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074188-D7F7-4943-A668-1B5A0352AA74}"/>
            </a:ext>
          </a:extLst>
        </xdr:cNvPr>
        <xdr:cNvSpPr txBox="1"/>
      </xdr:nvSpPr>
      <xdr:spPr>
        <a:xfrm>
          <a:off x="762000" y="1285875"/>
          <a:ext cx="11560969" cy="18000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Short</a:t>
          </a:r>
          <a:r>
            <a:rPr lang="da-DK" sz="1100" baseline="0"/>
            <a:t> project description and aim of the study.</a:t>
          </a:r>
        </a:p>
        <a:p>
          <a:endParaRPr lang="da-DK" sz="1100"/>
        </a:p>
      </xdr:txBody>
    </xdr:sp>
    <xdr:clientData/>
  </xdr:twoCellAnchor>
  <xdr:twoCellAnchor editAs="oneCell">
    <xdr:from>
      <xdr:col>22</xdr:col>
      <xdr:colOff>0</xdr:colOff>
      <xdr:row>1</xdr:row>
      <xdr:rowOff>0</xdr:rowOff>
    </xdr:from>
    <xdr:to>
      <xdr:col>24</xdr:col>
      <xdr:colOff>15875</xdr:colOff>
      <xdr:row>1</xdr:row>
      <xdr:rowOff>286904</xdr:rowOff>
    </xdr:to>
    <xdr:pic>
      <xdr:nvPicPr>
        <xdr:cNvPr id="4" name="Picture 3" descr="Image result for ramboll logo">
          <a:extLst>
            <a:ext uri="{FF2B5EF4-FFF2-40B4-BE49-F238E27FC236}">
              <a16:creationId xmlns:a16="http://schemas.microsoft.com/office/drawing/2014/main" id="{E33F05B7-CDC4-446B-9627-E88075985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2594" y="190500"/>
          <a:ext cx="1397000" cy="286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ambøll_2021">
      <a:dk1>
        <a:srgbClr val="000000"/>
      </a:dk1>
      <a:lt1>
        <a:srgbClr val="FFFFFF"/>
      </a:lt1>
      <a:dk2>
        <a:srgbClr val="009DF0"/>
      </a:dk2>
      <a:lt2>
        <a:srgbClr val="273943"/>
      </a:lt2>
      <a:accent1>
        <a:srgbClr val="05326E"/>
      </a:accent1>
      <a:accent2>
        <a:srgbClr val="125A40"/>
      </a:accent2>
      <a:accent3>
        <a:srgbClr val="ADD095"/>
      </a:accent3>
      <a:accent4>
        <a:srgbClr val="62294B"/>
      </a:accent4>
      <a:accent5>
        <a:srgbClr val="FF8855"/>
      </a:accent5>
      <a:accent6>
        <a:srgbClr val="E3E1D8"/>
      </a:accent6>
      <a:hlink>
        <a:srgbClr val="009DF0"/>
      </a:hlink>
      <a:folHlink>
        <a:srgbClr val="CCEBFD"/>
      </a:folHlink>
    </a:clrScheme>
    <a:fontScheme name="Aptos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MCSR@ramboll.com" TargetMode="External"/><Relationship Id="rId1" Type="http://schemas.openxmlformats.org/officeDocument/2006/relationships/hyperlink" Target="mailto:SMT@rambo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32A3-88A2-4B4E-B66A-CB665DE9AC0D}">
  <sheetPr codeName="Sheet1">
    <tabColor theme="2"/>
  </sheetPr>
  <dimension ref="A1:Z31"/>
  <sheetViews>
    <sheetView showGridLines="0" zoomScaleNormal="100" workbookViewId="0">
      <selection activeCell="A27" sqref="A27:XFD27"/>
    </sheetView>
  </sheetViews>
  <sheetFormatPr baseColWidth="10" defaultColWidth="0" defaultRowHeight="15" zeroHeight="1" x14ac:dyDescent="0.2"/>
  <cols>
    <col min="1" max="1" width="5.5" customWidth="1"/>
    <col min="2" max="26" width="9" customWidth="1"/>
    <col min="27" max="16384" width="8" hidden="1"/>
  </cols>
  <sheetData>
    <row r="1" spans="1:26" x14ac:dyDescent="0.2"/>
    <row r="2" spans="1:26" s="3" customFormat="1" ht="30" thickBot="1" x14ac:dyDescent="0.4">
      <c r="A2" s="1"/>
      <c r="B2" s="6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" thickTop="1" x14ac:dyDescent="0.2"/>
    <row r="4" spans="1:26" ht="27" x14ac:dyDescent="0.2">
      <c r="B4" s="7" t="s">
        <v>19</v>
      </c>
      <c r="J4" s="8" t="s">
        <v>0</v>
      </c>
      <c r="K4" s="9">
        <v>1</v>
      </c>
    </row>
    <row r="5" spans="1:26" x14ac:dyDescent="0.2"/>
    <row r="6" spans="1:26" x14ac:dyDescent="0.2"/>
    <row r="7" spans="1:26" x14ac:dyDescent="0.2"/>
    <row r="8" spans="1:26" x14ac:dyDescent="0.2"/>
    <row r="9" spans="1:26" x14ac:dyDescent="0.2"/>
    <row r="10" spans="1:26" x14ac:dyDescent="0.2"/>
    <row r="11" spans="1:26" x14ac:dyDescent="0.2"/>
    <row r="12" spans="1:26" x14ac:dyDescent="0.2"/>
    <row r="13" spans="1:26" x14ac:dyDescent="0.2"/>
    <row r="14" spans="1:26" x14ac:dyDescent="0.2"/>
    <row r="15" spans="1:26" x14ac:dyDescent="0.2"/>
    <row r="16" spans="1:26" x14ac:dyDescent="0.2"/>
    <row r="17" spans="2:26" x14ac:dyDescent="0.2"/>
    <row r="18" spans="2:26" x14ac:dyDescent="0.2"/>
    <row r="19" spans="2:26" x14ac:dyDescent="0.2"/>
    <row r="20" spans="2:26" x14ac:dyDescent="0.2"/>
    <row r="21" spans="2:26" x14ac:dyDescent="0.2"/>
    <row r="22" spans="2:26" x14ac:dyDescent="0.2"/>
    <row r="23" spans="2:26" ht="25" thickBot="1" x14ac:dyDescent="0.35">
      <c r="B23" s="10" t="s">
        <v>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2:26" ht="16" thickTop="1" x14ac:dyDescent="0.2">
      <c r="B24" s="4"/>
      <c r="C24" s="4"/>
      <c r="D24" s="4"/>
      <c r="E24" s="4"/>
      <c r="F24" s="4"/>
      <c r="G24" s="4"/>
      <c r="H24" s="4"/>
      <c r="I24" s="4"/>
    </row>
    <row r="25" spans="2:26" x14ac:dyDescent="0.2">
      <c r="B25" s="11"/>
      <c r="C25" s="11"/>
      <c r="D25" s="11"/>
      <c r="E25" s="11" t="s">
        <v>2</v>
      </c>
      <c r="F25" s="11"/>
      <c r="G25" s="11"/>
      <c r="H25" s="11" t="s">
        <v>3</v>
      </c>
      <c r="I25" s="11"/>
    </row>
    <row r="26" spans="2:26" x14ac:dyDescent="0.2">
      <c r="B26" t="s">
        <v>8</v>
      </c>
      <c r="E26" s="13" t="s">
        <v>9</v>
      </c>
      <c r="H26" s="14" t="s">
        <v>10</v>
      </c>
    </row>
    <row r="27" spans="2:26" x14ac:dyDescent="0.2">
      <c r="B27" s="4" t="s">
        <v>4</v>
      </c>
      <c r="C27" s="11"/>
      <c r="D27" s="11"/>
      <c r="E27" s="12" t="s">
        <v>5</v>
      </c>
      <c r="F27" s="11"/>
      <c r="G27" s="11"/>
      <c r="H27" s="4" t="s">
        <v>6</v>
      </c>
      <c r="I27" s="4"/>
    </row>
    <row r="28" spans="2:26" x14ac:dyDescent="0.2"/>
    <row r="29" spans="2:26" x14ac:dyDescent="0.2"/>
    <row r="30" spans="2:26" x14ac:dyDescent="0.2"/>
    <row r="31" spans="2:26" x14ac:dyDescent="0.2"/>
  </sheetData>
  <phoneticPr fontId="2" type="noConversion"/>
  <hyperlinks>
    <hyperlink ref="E27" r:id="rId1" xr:uid="{0938F24E-1AFA-46B9-BF58-0E0E13647DE9}"/>
    <hyperlink ref="E26" r:id="rId2" xr:uid="{561EE22A-BFB9-4269-8A62-61FE1B0F1EBD}"/>
  </hyperlinks>
  <pageMargins left="0.7" right="0.7" top="0.75" bottom="0.75" header="0.3" footer="0.3"/>
  <pageSetup paperSize="9" orientation="portrait" verticalDpi="0"/>
  <headerFooter>
    <oddFooter>&amp;C_x000D_&amp;1#&amp;"Verdana"&amp;7&amp;K000000 Confidential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F1F2-3B8B-499E-8EA8-08C10876B512}">
  <sheetPr>
    <tabColor theme="3"/>
    <outlinePr summaryBelow="0"/>
  </sheetPr>
  <dimension ref="A2:V158"/>
  <sheetViews>
    <sheetView showGridLines="0" tabSelected="1" topLeftCell="C143" zoomScaleNormal="100" workbookViewId="0">
      <selection activeCell="K164" sqref="K164"/>
    </sheetView>
  </sheetViews>
  <sheetFormatPr baseColWidth="10" defaultColWidth="9" defaultRowHeight="15" outlineLevelRow="1" x14ac:dyDescent="0.2"/>
  <cols>
    <col min="1" max="1" width="5.5" style="5" customWidth="1"/>
    <col min="2" max="2" width="7.5" style="5" customWidth="1"/>
    <col min="3" max="3" width="15.5" style="5" customWidth="1"/>
    <col min="4" max="4" width="19.5" style="5" customWidth="1"/>
    <col min="5" max="5" width="22" style="5" bestFit="1" customWidth="1"/>
    <col min="6" max="7" width="19.5" style="5" customWidth="1"/>
    <col min="8" max="10" width="25.5" style="5" bestFit="1" customWidth="1"/>
    <col min="11" max="11" width="25.1640625" style="5" bestFit="1" customWidth="1"/>
    <col min="12" max="17" width="18.5" style="5" customWidth="1"/>
    <col min="18" max="16384" width="9" style="5"/>
  </cols>
  <sheetData>
    <row r="2" spans="1:17" s="3" customFormat="1" ht="30" thickBot="1" x14ac:dyDescent="0.4">
      <c r="A2" s="1"/>
      <c r="B2" s="46"/>
      <c r="C2" s="6" t="s">
        <v>15</v>
      </c>
      <c r="D2" s="6"/>
      <c r="E2" s="18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6" thickTop="1" x14ac:dyDescent="0.2"/>
    <row r="5" spans="1:17" customFormat="1" ht="20" thickBot="1" x14ac:dyDescent="0.3">
      <c r="B5" s="36"/>
      <c r="C5" s="37" t="s">
        <v>16</v>
      </c>
      <c r="D5" s="33"/>
      <c r="E5" s="34"/>
      <c r="F5" s="33"/>
      <c r="G5" s="35"/>
      <c r="H5" s="35"/>
      <c r="I5" s="35"/>
      <c r="J5" s="35"/>
      <c r="K5" s="33"/>
      <c r="L5" s="33"/>
      <c r="M5" s="33"/>
      <c r="N5" s="33"/>
      <c r="O5" s="33"/>
      <c r="P5" s="33"/>
      <c r="Q5" s="33"/>
    </row>
    <row r="6" spans="1:17" s="16" customFormat="1" ht="16" outlineLevel="1" thickTop="1" x14ac:dyDescent="0.2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s="24" customFormat="1" ht="9.75" customHeight="1" outlineLevel="1" x14ac:dyDescent="0.2">
      <c r="B7" s="25"/>
      <c r="C7" s="26"/>
      <c r="F7" s="27"/>
    </row>
    <row r="8" spans="1:17" s="24" customFormat="1" ht="29.25" customHeight="1" outlineLevel="1" x14ac:dyDescent="0.2">
      <c r="B8" s="19"/>
      <c r="C8" s="20"/>
      <c r="D8" s="21" t="s">
        <v>111</v>
      </c>
      <c r="E8" s="21" t="s">
        <v>112</v>
      </c>
      <c r="F8" s="21" t="s">
        <v>113</v>
      </c>
      <c r="G8" s="22" t="s">
        <v>114</v>
      </c>
      <c r="H8" s="22" t="s">
        <v>62</v>
      </c>
      <c r="I8" s="22" t="s">
        <v>63</v>
      </c>
      <c r="J8" s="22" t="s">
        <v>64</v>
      </c>
      <c r="K8" s="22" t="s">
        <v>65</v>
      </c>
      <c r="L8" s="22" t="s">
        <v>66</v>
      </c>
      <c r="M8" s="22" t="s">
        <v>67</v>
      </c>
      <c r="N8" s="22" t="s">
        <v>68</v>
      </c>
      <c r="O8" s="22" t="s">
        <v>69</v>
      </c>
      <c r="P8" s="22" t="s">
        <v>70</v>
      </c>
      <c r="Q8" s="23" t="s">
        <v>71</v>
      </c>
    </row>
    <row r="9" spans="1:17" s="24" customFormat="1" ht="28.5" customHeight="1" outlineLevel="1" x14ac:dyDescent="0.2">
      <c r="B9" s="56" t="s">
        <v>20</v>
      </c>
      <c r="C9" s="57"/>
      <c r="D9" s="58" t="s">
        <v>18</v>
      </c>
      <c r="E9" s="59" t="s">
        <v>86</v>
      </c>
      <c r="F9" s="58" t="s">
        <v>12</v>
      </c>
      <c r="G9" s="60" t="s">
        <v>14</v>
      </c>
      <c r="H9" s="61">
        <v>2040</v>
      </c>
      <c r="I9" s="61">
        <v>2040</v>
      </c>
      <c r="J9" s="61">
        <v>2040</v>
      </c>
      <c r="K9" s="61">
        <f>J9</f>
        <v>2040</v>
      </c>
      <c r="L9" s="61"/>
      <c r="M9" s="61"/>
      <c r="N9" s="61"/>
      <c r="O9" s="61"/>
      <c r="P9" s="61"/>
      <c r="Q9" s="61"/>
    </row>
    <row r="11" spans="1:17" customFormat="1" ht="20" thickBot="1" x14ac:dyDescent="0.3">
      <c r="B11" s="36"/>
      <c r="C11" s="37" t="s">
        <v>32</v>
      </c>
      <c r="D11" s="33"/>
      <c r="E11" s="34"/>
      <c r="F11" s="33"/>
      <c r="G11" s="35"/>
      <c r="H11" s="35"/>
      <c r="I11" s="35"/>
      <c r="J11" s="35"/>
      <c r="K11" s="33"/>
      <c r="L11" s="33"/>
      <c r="M11" s="33"/>
      <c r="N11" s="33"/>
      <c r="O11" s="33"/>
      <c r="P11" s="33"/>
      <c r="Q11" s="33"/>
    </row>
    <row r="12" spans="1:17" customFormat="1" ht="16" outlineLevel="1" thickTop="1" x14ac:dyDescent="0.2"/>
    <row r="13" spans="1:17" s="24" customFormat="1" ht="20" outlineLevel="1" thickBot="1" x14ac:dyDescent="0.25">
      <c r="B13" s="53" t="s">
        <v>31</v>
      </c>
      <c r="C13" s="53" t="s">
        <v>33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pans="1:17" customFormat="1" outlineLevel="1" x14ac:dyDescent="0.2"/>
    <row r="15" spans="1:17" customFormat="1" ht="26.25" customHeight="1" outlineLevel="1" x14ac:dyDescent="0.2">
      <c r="B15" s="19"/>
      <c r="C15" s="20"/>
      <c r="D15" s="21" t="s">
        <v>111</v>
      </c>
      <c r="E15" s="21" t="s">
        <v>112</v>
      </c>
      <c r="F15" s="21" t="s">
        <v>113</v>
      </c>
      <c r="G15" s="22" t="s">
        <v>114</v>
      </c>
      <c r="H15" s="22" t="s">
        <v>62</v>
      </c>
      <c r="I15" s="22" t="s">
        <v>63</v>
      </c>
      <c r="J15" s="22" t="s">
        <v>64</v>
      </c>
      <c r="K15" s="22" t="s">
        <v>65</v>
      </c>
      <c r="L15" s="22" t="s">
        <v>66</v>
      </c>
      <c r="M15" s="22" t="s">
        <v>67</v>
      </c>
      <c r="N15" s="22" t="s">
        <v>68</v>
      </c>
      <c r="O15" s="22" t="s">
        <v>69</v>
      </c>
      <c r="P15" s="22" t="s">
        <v>70</v>
      </c>
      <c r="Q15" s="23" t="s">
        <v>71</v>
      </c>
    </row>
    <row r="16" spans="1:17" customFormat="1" ht="26.25" customHeight="1" outlineLevel="1" x14ac:dyDescent="0.2">
      <c r="B16" s="28" t="s">
        <v>21</v>
      </c>
      <c r="C16" s="29"/>
      <c r="D16" s="44" t="s">
        <v>45</v>
      </c>
      <c r="E16" s="47" t="s">
        <v>50</v>
      </c>
      <c r="F16" s="44" t="s">
        <v>12</v>
      </c>
      <c r="G16" s="48" t="s">
        <v>14</v>
      </c>
      <c r="H16" s="52">
        <v>2020</v>
      </c>
      <c r="I16" s="55">
        <v>2021</v>
      </c>
      <c r="J16" s="52" t="s">
        <v>172</v>
      </c>
      <c r="K16" s="55">
        <v>2024</v>
      </c>
      <c r="L16" s="49"/>
      <c r="M16" s="49"/>
      <c r="N16" s="49"/>
      <c r="O16" s="49"/>
      <c r="P16" s="49"/>
      <c r="Q16" s="49"/>
    </row>
    <row r="17" spans="2:17" customFormat="1" ht="26.25" customHeight="1" outlineLevel="1" x14ac:dyDescent="0.2">
      <c r="B17" s="28" t="s">
        <v>87</v>
      </c>
      <c r="C17" s="29"/>
      <c r="D17" s="44" t="s">
        <v>45</v>
      </c>
      <c r="E17" s="47" t="s">
        <v>24</v>
      </c>
      <c r="F17" s="44" t="s">
        <v>94</v>
      </c>
      <c r="G17" s="48" t="s">
        <v>43</v>
      </c>
      <c r="H17" s="51" t="s">
        <v>49</v>
      </c>
      <c r="I17" s="51" t="s">
        <v>49</v>
      </c>
      <c r="J17" s="51" t="s">
        <v>49</v>
      </c>
      <c r="K17" s="51" t="s">
        <v>49</v>
      </c>
      <c r="L17" s="49"/>
      <c r="M17" s="49"/>
      <c r="N17" s="49"/>
      <c r="O17" s="49"/>
      <c r="P17" s="49"/>
      <c r="Q17" s="49"/>
    </row>
    <row r="18" spans="2:17" customFormat="1" ht="26.25" customHeight="1" outlineLevel="1" x14ac:dyDescent="0.2">
      <c r="B18" s="30" t="s">
        <v>23</v>
      </c>
      <c r="C18" s="31"/>
      <c r="D18" s="40" t="s">
        <v>45</v>
      </c>
      <c r="E18" s="41" t="s">
        <v>25</v>
      </c>
      <c r="F18" s="40" t="s">
        <v>11</v>
      </c>
      <c r="G18" s="32" t="s">
        <v>115</v>
      </c>
      <c r="H18" s="50">
        <v>0.01</v>
      </c>
      <c r="I18" s="50">
        <f>H18</f>
        <v>0.01</v>
      </c>
      <c r="J18" s="50">
        <f t="shared" ref="J18:K18" si="0">I18</f>
        <v>0.01</v>
      </c>
      <c r="K18" s="50">
        <f t="shared" si="0"/>
        <v>0.01</v>
      </c>
      <c r="L18" s="50"/>
      <c r="M18" s="50"/>
      <c r="N18" s="50"/>
      <c r="O18" s="50"/>
      <c r="P18" s="50"/>
      <c r="Q18" s="50"/>
    </row>
    <row r="19" spans="2:17" customFormat="1" outlineLevel="1" x14ac:dyDescent="0.2"/>
    <row r="20" spans="2:17" s="24" customFormat="1" ht="20" outlineLevel="1" thickBot="1" x14ac:dyDescent="0.25">
      <c r="B20" s="53" t="s">
        <v>31</v>
      </c>
      <c r="C20" s="53" t="s">
        <v>34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</row>
    <row r="21" spans="2:17" customFormat="1" outlineLevel="1" x14ac:dyDescent="0.2"/>
    <row r="22" spans="2:17" customFormat="1" ht="26.25" customHeight="1" outlineLevel="1" x14ac:dyDescent="0.2">
      <c r="B22" s="19"/>
      <c r="C22" s="20"/>
      <c r="D22" s="21" t="s">
        <v>111</v>
      </c>
      <c r="E22" s="21" t="s">
        <v>112</v>
      </c>
      <c r="F22" s="21" t="s">
        <v>113</v>
      </c>
      <c r="G22" s="22" t="s">
        <v>114</v>
      </c>
      <c r="H22" s="22" t="s">
        <v>62</v>
      </c>
      <c r="I22" s="22" t="s">
        <v>63</v>
      </c>
      <c r="J22" s="22" t="s">
        <v>64</v>
      </c>
      <c r="K22" s="22" t="s">
        <v>65</v>
      </c>
      <c r="L22" s="22" t="s">
        <v>66</v>
      </c>
      <c r="M22" s="22" t="s">
        <v>67</v>
      </c>
      <c r="N22" s="22" t="s">
        <v>68</v>
      </c>
      <c r="O22" s="22" t="s">
        <v>69</v>
      </c>
      <c r="P22" s="22" t="s">
        <v>70</v>
      </c>
      <c r="Q22" s="23" t="s">
        <v>71</v>
      </c>
    </row>
    <row r="23" spans="2:17" customFormat="1" ht="26.25" customHeight="1" outlineLevel="1" x14ac:dyDescent="0.2">
      <c r="B23" s="28" t="s">
        <v>21</v>
      </c>
      <c r="C23" s="29"/>
      <c r="D23" s="44" t="s">
        <v>46</v>
      </c>
      <c r="E23" s="47" t="s">
        <v>51</v>
      </c>
      <c r="F23" s="44" t="s">
        <v>12</v>
      </c>
      <c r="G23" s="48" t="s">
        <v>14</v>
      </c>
      <c r="H23" s="55">
        <v>2020</v>
      </c>
      <c r="I23" s="55">
        <v>2021</v>
      </c>
      <c r="J23" s="55">
        <v>2023</v>
      </c>
      <c r="K23" s="55">
        <v>2024</v>
      </c>
      <c r="L23" s="49"/>
      <c r="M23" s="49"/>
      <c r="N23" s="49"/>
      <c r="O23" s="49"/>
      <c r="P23" s="49"/>
      <c r="Q23" s="49"/>
    </row>
    <row r="24" spans="2:17" customFormat="1" ht="26.25" customHeight="1" outlineLevel="1" x14ac:dyDescent="0.2">
      <c r="B24" s="28" t="s">
        <v>87</v>
      </c>
      <c r="C24" s="29"/>
      <c r="D24" s="44" t="s">
        <v>46</v>
      </c>
      <c r="E24" s="47" t="s">
        <v>52</v>
      </c>
      <c r="F24" s="44" t="s">
        <v>94</v>
      </c>
      <c r="G24" s="48" t="s">
        <v>43</v>
      </c>
      <c r="H24" s="51" t="s">
        <v>49</v>
      </c>
      <c r="I24" s="51" t="s">
        <v>49</v>
      </c>
      <c r="J24" s="51" t="s">
        <v>49</v>
      </c>
      <c r="K24" s="51" t="s">
        <v>49</v>
      </c>
      <c r="L24" s="49"/>
      <c r="M24" s="49"/>
      <c r="N24" s="49"/>
      <c r="O24" s="49"/>
      <c r="P24" s="49"/>
      <c r="Q24" s="49"/>
    </row>
    <row r="25" spans="2:17" customFormat="1" ht="26.25" customHeight="1" outlineLevel="1" x14ac:dyDescent="0.2">
      <c r="B25" s="30" t="s">
        <v>23</v>
      </c>
      <c r="C25" s="31"/>
      <c r="D25" s="40" t="s">
        <v>46</v>
      </c>
      <c r="E25" s="41" t="s">
        <v>53</v>
      </c>
      <c r="F25" s="40" t="s">
        <v>11</v>
      </c>
      <c r="G25" s="32" t="s">
        <v>44</v>
      </c>
      <c r="H25" s="50">
        <v>0.02</v>
      </c>
      <c r="I25" s="50">
        <f>H25</f>
        <v>0.02</v>
      </c>
      <c r="J25" s="50">
        <f t="shared" ref="J25:K25" si="1">I25</f>
        <v>0.02</v>
      </c>
      <c r="K25" s="50">
        <f t="shared" si="1"/>
        <v>0.02</v>
      </c>
      <c r="L25" s="50"/>
      <c r="M25" s="50"/>
      <c r="N25" s="50"/>
      <c r="O25" s="50"/>
      <c r="P25" s="50"/>
      <c r="Q25" s="50"/>
    </row>
    <row r="27" spans="2:17" customFormat="1" ht="20" thickBot="1" x14ac:dyDescent="0.3">
      <c r="B27" s="36"/>
      <c r="C27" s="37" t="s">
        <v>17</v>
      </c>
      <c r="D27" s="33"/>
      <c r="E27" s="34"/>
      <c r="F27" s="33"/>
      <c r="G27" s="35"/>
      <c r="H27" s="35"/>
      <c r="I27" s="35"/>
      <c r="J27" s="35"/>
      <c r="K27" s="33"/>
      <c r="L27" s="33"/>
      <c r="M27" s="33"/>
      <c r="N27" s="33"/>
      <c r="O27" s="33"/>
      <c r="P27" s="33"/>
      <c r="Q27" s="33"/>
    </row>
    <row r="28" spans="2:17" customFormat="1" ht="16" outlineLevel="1" thickTop="1" x14ac:dyDescent="0.2"/>
    <row r="29" spans="2:17" customFormat="1" ht="26.25" customHeight="1" outlineLevel="1" x14ac:dyDescent="0.2">
      <c r="B29" s="19"/>
      <c r="C29" s="20"/>
      <c r="D29" s="21" t="s">
        <v>111</v>
      </c>
      <c r="E29" s="21" t="s">
        <v>112</v>
      </c>
      <c r="F29" s="21" t="s">
        <v>113</v>
      </c>
      <c r="G29" s="22" t="s">
        <v>114</v>
      </c>
      <c r="H29" s="22" t="s">
        <v>62</v>
      </c>
      <c r="I29" s="22" t="s">
        <v>63</v>
      </c>
      <c r="J29" s="22" t="s">
        <v>64</v>
      </c>
      <c r="K29" s="22" t="s">
        <v>65</v>
      </c>
      <c r="L29" s="22" t="s">
        <v>66</v>
      </c>
      <c r="M29" s="22" t="s">
        <v>67</v>
      </c>
      <c r="N29" s="22" t="s">
        <v>68</v>
      </c>
      <c r="O29" s="22" t="s">
        <v>69</v>
      </c>
      <c r="P29" s="22" t="s">
        <v>70</v>
      </c>
      <c r="Q29" s="23" t="s">
        <v>71</v>
      </c>
    </row>
    <row r="30" spans="2:17" customFormat="1" ht="26.25" customHeight="1" outlineLevel="1" x14ac:dyDescent="0.2">
      <c r="B30" s="28" t="s">
        <v>21</v>
      </c>
      <c r="C30" s="29"/>
      <c r="D30" s="44" t="s">
        <v>47</v>
      </c>
      <c r="E30" s="47" t="s">
        <v>88</v>
      </c>
      <c r="F30" s="44" t="s">
        <v>12</v>
      </c>
      <c r="G30" s="48" t="s">
        <v>14</v>
      </c>
      <c r="H30" s="52">
        <v>2020</v>
      </c>
      <c r="I30" s="52" t="s">
        <v>173</v>
      </c>
      <c r="J30" s="52" t="s">
        <v>172</v>
      </c>
      <c r="K30" s="55">
        <v>2024</v>
      </c>
      <c r="L30" s="49"/>
      <c r="M30" s="49"/>
      <c r="N30" s="49"/>
      <c r="O30" s="49"/>
      <c r="P30" s="49"/>
      <c r="Q30" s="49"/>
    </row>
    <row r="31" spans="2:17" customFormat="1" ht="26.25" customHeight="1" outlineLevel="1" x14ac:dyDescent="0.2">
      <c r="B31" s="28" t="s">
        <v>87</v>
      </c>
      <c r="C31" s="29"/>
      <c r="D31" s="44" t="s">
        <v>47</v>
      </c>
      <c r="E31" s="47" t="s">
        <v>89</v>
      </c>
      <c r="F31" s="44" t="s">
        <v>94</v>
      </c>
      <c r="G31" s="48" t="s">
        <v>43</v>
      </c>
      <c r="H31" s="51" t="s">
        <v>49</v>
      </c>
      <c r="I31" s="51" t="s">
        <v>49</v>
      </c>
      <c r="J31" s="51" t="s">
        <v>49</v>
      </c>
      <c r="K31" s="51" t="s">
        <v>49</v>
      </c>
      <c r="L31" s="49"/>
      <c r="M31" s="49"/>
      <c r="N31" s="49"/>
      <c r="O31" s="49"/>
      <c r="P31" s="49"/>
      <c r="Q31" s="49"/>
    </row>
    <row r="32" spans="2:17" customFormat="1" ht="26.25" customHeight="1" outlineLevel="1" x14ac:dyDescent="0.2">
      <c r="B32" s="30" t="s">
        <v>23</v>
      </c>
      <c r="C32" s="31"/>
      <c r="D32" s="40" t="s">
        <v>47</v>
      </c>
      <c r="E32" s="41" t="s">
        <v>90</v>
      </c>
      <c r="F32" s="40" t="s">
        <v>11</v>
      </c>
      <c r="G32" s="32" t="s">
        <v>44</v>
      </c>
      <c r="H32" s="50">
        <v>0.03</v>
      </c>
      <c r="I32" s="50">
        <f>H32</f>
        <v>0.03</v>
      </c>
      <c r="J32" s="50">
        <f t="shared" ref="J32:K32" si="2">I32</f>
        <v>0.03</v>
      </c>
      <c r="K32" s="50">
        <f t="shared" si="2"/>
        <v>0.03</v>
      </c>
      <c r="L32" s="50"/>
      <c r="M32" s="50"/>
      <c r="N32" s="50"/>
      <c r="O32" s="50"/>
      <c r="P32" s="50"/>
      <c r="Q32" s="50"/>
    </row>
    <row r="33" spans="2:20" customFormat="1" x14ac:dyDescent="0.2">
      <c r="B33" s="38"/>
      <c r="C33" s="38"/>
      <c r="D33" s="42"/>
      <c r="E33" s="43"/>
      <c r="F33" s="42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</row>
    <row r="34" spans="2:20" customFormat="1" ht="20" thickBot="1" x14ac:dyDescent="0.3">
      <c r="B34" s="36"/>
      <c r="C34" s="37" t="s">
        <v>35</v>
      </c>
      <c r="D34" s="33"/>
      <c r="E34" s="34"/>
      <c r="F34" s="33"/>
      <c r="G34" s="35"/>
      <c r="H34" s="35"/>
      <c r="I34" s="35"/>
      <c r="J34" s="35"/>
      <c r="K34" s="33"/>
      <c r="L34" s="33"/>
      <c r="M34" s="33"/>
      <c r="N34" s="33"/>
      <c r="O34" s="33"/>
      <c r="P34" s="33"/>
      <c r="Q34" s="33"/>
    </row>
    <row r="35" spans="2:20" customFormat="1" ht="16" outlineLevel="1" thickTop="1" x14ac:dyDescent="0.2">
      <c r="B35" s="38"/>
      <c r="C35" s="38"/>
      <c r="D35" s="42"/>
      <c r="E35" s="43"/>
      <c r="F35" s="42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</row>
    <row r="36" spans="2:20" s="24" customFormat="1" ht="20" outlineLevel="1" thickBot="1" x14ac:dyDescent="0.25">
      <c r="B36" s="53"/>
      <c r="C36" s="53" t="s">
        <v>26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</row>
    <row r="37" spans="2:20" customFormat="1" outlineLevel="1" x14ac:dyDescent="0.2"/>
    <row r="38" spans="2:20" customFormat="1" ht="26.25" customHeight="1" outlineLevel="1" x14ac:dyDescent="0.2">
      <c r="B38" s="19"/>
      <c r="C38" s="20"/>
      <c r="D38" s="21" t="s">
        <v>111</v>
      </c>
      <c r="E38" s="21" t="s">
        <v>112</v>
      </c>
      <c r="F38" s="21" t="s">
        <v>113</v>
      </c>
      <c r="G38" s="22" t="s">
        <v>114</v>
      </c>
      <c r="H38" s="22" t="s">
        <v>62</v>
      </c>
      <c r="I38" s="22" t="s">
        <v>63</v>
      </c>
      <c r="J38" s="22" t="s">
        <v>64</v>
      </c>
      <c r="K38" s="22" t="s">
        <v>65</v>
      </c>
      <c r="L38" s="22" t="s">
        <v>66</v>
      </c>
      <c r="M38" s="22" t="s">
        <v>67</v>
      </c>
      <c r="N38" s="22" t="s">
        <v>68</v>
      </c>
      <c r="O38" s="22" t="s">
        <v>69</v>
      </c>
      <c r="P38" s="22" t="s">
        <v>70</v>
      </c>
      <c r="Q38" s="23" t="s">
        <v>71</v>
      </c>
    </row>
    <row r="39" spans="2:20" customFormat="1" ht="26.25" customHeight="1" outlineLevel="1" x14ac:dyDescent="0.2">
      <c r="B39" s="28" t="s">
        <v>21</v>
      </c>
      <c r="C39" s="29"/>
      <c r="D39" s="44" t="s">
        <v>61</v>
      </c>
      <c r="E39" s="47" t="s">
        <v>54</v>
      </c>
      <c r="F39" s="44" t="s">
        <v>12</v>
      </c>
      <c r="G39" s="48" t="s">
        <v>14</v>
      </c>
      <c r="H39" s="52">
        <v>2020</v>
      </c>
      <c r="I39" s="52" t="s">
        <v>173</v>
      </c>
      <c r="J39" s="52" t="s">
        <v>172</v>
      </c>
      <c r="K39" s="55">
        <v>2024</v>
      </c>
      <c r="L39" s="49"/>
      <c r="M39" s="49"/>
      <c r="N39" s="49"/>
      <c r="O39" s="49"/>
      <c r="P39" s="49"/>
      <c r="Q39" s="49"/>
    </row>
    <row r="40" spans="2:20" customFormat="1" ht="26.25" customHeight="1" outlineLevel="1" x14ac:dyDescent="0.2">
      <c r="B40" s="28" t="s">
        <v>22</v>
      </c>
      <c r="C40" s="29"/>
      <c r="D40" s="44" t="s">
        <v>61</v>
      </c>
      <c r="E40" s="47" t="s">
        <v>55</v>
      </c>
      <c r="F40" s="44" t="s">
        <v>94</v>
      </c>
      <c r="G40" s="48" t="s">
        <v>43</v>
      </c>
      <c r="H40" s="51" t="s">
        <v>49</v>
      </c>
      <c r="I40" s="51" t="s">
        <v>49</v>
      </c>
      <c r="J40" s="51" t="s">
        <v>49</v>
      </c>
      <c r="K40" s="51" t="s">
        <v>49</v>
      </c>
      <c r="L40" s="49"/>
      <c r="M40" s="49"/>
      <c r="N40" s="49"/>
      <c r="O40" s="49"/>
      <c r="P40" s="49"/>
      <c r="Q40" s="49"/>
    </row>
    <row r="41" spans="2:20" customFormat="1" ht="26.25" customHeight="1" outlineLevel="1" x14ac:dyDescent="0.2">
      <c r="B41" s="30" t="s">
        <v>23</v>
      </c>
      <c r="C41" s="31"/>
      <c r="D41" s="40" t="s">
        <v>61</v>
      </c>
      <c r="E41" s="41" t="s">
        <v>56</v>
      </c>
      <c r="F41" s="40" t="s">
        <v>11</v>
      </c>
      <c r="G41" s="32" t="s">
        <v>44</v>
      </c>
      <c r="H41" s="50">
        <v>0.04</v>
      </c>
      <c r="I41" s="50">
        <f>H41</f>
        <v>0.04</v>
      </c>
      <c r="J41" s="50">
        <f t="shared" ref="J41:K41" si="3">I41</f>
        <v>0.04</v>
      </c>
      <c r="K41" s="50">
        <f t="shared" si="3"/>
        <v>0.04</v>
      </c>
      <c r="L41" s="50"/>
      <c r="M41" s="50"/>
      <c r="N41" s="50"/>
      <c r="O41" s="50"/>
      <c r="P41" s="50"/>
      <c r="Q41" s="50"/>
    </row>
    <row r="42" spans="2:20" customFormat="1" ht="26.25" customHeight="1" outlineLevel="1" x14ac:dyDescent="0.2">
      <c r="B42" s="38"/>
      <c r="C42" s="38"/>
      <c r="D42" s="42"/>
      <c r="E42" s="43"/>
      <c r="F42" s="42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 spans="2:20" s="24" customFormat="1" ht="20" outlineLevel="1" thickBot="1" x14ac:dyDescent="0.25">
      <c r="B43" s="53"/>
      <c r="C43" s="53" t="s">
        <v>27</v>
      </c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</row>
    <row r="44" spans="2:20" customFormat="1" outlineLevel="1" x14ac:dyDescent="0.2"/>
    <row r="45" spans="2:20" customFormat="1" ht="26.25" customHeight="1" outlineLevel="1" x14ac:dyDescent="0.2">
      <c r="B45" s="19"/>
      <c r="C45" s="20"/>
      <c r="D45" s="21" t="s">
        <v>111</v>
      </c>
      <c r="E45" s="21" t="s">
        <v>112</v>
      </c>
      <c r="F45" s="21" t="s">
        <v>113</v>
      </c>
      <c r="G45" s="22" t="s">
        <v>114</v>
      </c>
      <c r="H45" s="22" t="s">
        <v>62</v>
      </c>
      <c r="I45" s="22" t="s">
        <v>63</v>
      </c>
      <c r="J45" s="22" t="s">
        <v>64</v>
      </c>
      <c r="K45" s="22" t="s">
        <v>65</v>
      </c>
      <c r="L45" s="22" t="s">
        <v>66</v>
      </c>
      <c r="M45" s="22" t="s">
        <v>67</v>
      </c>
      <c r="N45" s="22" t="s">
        <v>68</v>
      </c>
      <c r="O45" s="22" t="s">
        <v>69</v>
      </c>
      <c r="P45" s="22" t="s">
        <v>70</v>
      </c>
      <c r="Q45" s="23" t="s">
        <v>71</v>
      </c>
    </row>
    <row r="46" spans="2:20" customFormat="1" ht="26.25" customHeight="1" outlineLevel="1" x14ac:dyDescent="0.2">
      <c r="B46" s="28" t="s">
        <v>141</v>
      </c>
      <c r="C46" s="29"/>
      <c r="D46" s="44" t="s">
        <v>60</v>
      </c>
      <c r="E46" s="47" t="s">
        <v>140</v>
      </c>
      <c r="F46" s="44" t="s">
        <v>11</v>
      </c>
      <c r="G46" s="48" t="s">
        <v>7</v>
      </c>
      <c r="H46" s="52" t="s">
        <v>142</v>
      </c>
      <c r="I46" s="52" t="s">
        <v>142</v>
      </c>
      <c r="J46" s="52" t="s">
        <v>142</v>
      </c>
      <c r="K46" s="52" t="s">
        <v>142</v>
      </c>
      <c r="L46" s="64"/>
      <c r="M46" s="64"/>
      <c r="N46" s="64"/>
      <c r="O46" s="64"/>
      <c r="P46" s="64"/>
      <c r="Q46" s="64"/>
    </row>
    <row r="47" spans="2:20" customFormat="1" ht="26.25" customHeight="1" outlineLevel="1" x14ac:dyDescent="0.2">
      <c r="B47" s="28" t="s">
        <v>91</v>
      </c>
      <c r="C47" s="29"/>
      <c r="D47" s="44" t="s">
        <v>60</v>
      </c>
      <c r="E47" s="47" t="s">
        <v>139</v>
      </c>
      <c r="F47" s="44" t="s">
        <v>11</v>
      </c>
      <c r="G47" s="48" t="s">
        <v>7</v>
      </c>
      <c r="H47" s="52">
        <v>2020</v>
      </c>
      <c r="I47" s="52" t="s">
        <v>173</v>
      </c>
      <c r="J47" s="52" t="s">
        <v>172</v>
      </c>
      <c r="K47" s="90">
        <v>2024</v>
      </c>
      <c r="L47" s="64"/>
      <c r="M47" s="64"/>
      <c r="N47" s="64"/>
      <c r="O47" s="64"/>
      <c r="P47" s="64"/>
      <c r="Q47" s="64"/>
    </row>
    <row r="48" spans="2:20" customFormat="1" ht="26.25" customHeight="1" outlineLevel="1" x14ac:dyDescent="0.2">
      <c r="B48" s="30" t="s">
        <v>85</v>
      </c>
      <c r="C48" s="31"/>
      <c r="D48" s="40" t="s">
        <v>60</v>
      </c>
      <c r="E48" s="41" t="s">
        <v>57</v>
      </c>
      <c r="F48" s="58" t="s">
        <v>94</v>
      </c>
      <c r="G48" s="60" t="s">
        <v>43</v>
      </c>
      <c r="H48" s="62" t="s">
        <v>95</v>
      </c>
      <c r="I48" s="62" t="s">
        <v>95</v>
      </c>
      <c r="J48" s="62" t="s">
        <v>95</v>
      </c>
      <c r="K48" s="62" t="s">
        <v>95</v>
      </c>
      <c r="L48" s="50"/>
      <c r="M48" s="50"/>
      <c r="N48" s="50"/>
      <c r="O48" s="50"/>
      <c r="P48" s="50"/>
      <c r="Q48" s="50"/>
    </row>
    <row r="49" spans="2:22" customFormat="1" ht="26.25" customHeight="1" outlineLevel="1" x14ac:dyDescent="0.2">
      <c r="B49" s="38"/>
      <c r="C49" s="38"/>
      <c r="D49" s="42"/>
      <c r="E49" s="43"/>
      <c r="F49" s="42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  <row r="50" spans="2:22" s="24" customFormat="1" ht="20" outlineLevel="1" thickBot="1" x14ac:dyDescent="0.25">
      <c r="B50" s="53"/>
      <c r="C50" s="53" t="s">
        <v>28</v>
      </c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</row>
    <row r="51" spans="2:22" outlineLevel="1" x14ac:dyDescent="0.2"/>
    <row r="52" spans="2:22" customFormat="1" ht="26.25" customHeight="1" outlineLevel="1" x14ac:dyDescent="0.2">
      <c r="B52" s="19"/>
      <c r="C52" s="20"/>
      <c r="D52" s="21" t="s">
        <v>111</v>
      </c>
      <c r="E52" s="21" t="s">
        <v>112</v>
      </c>
      <c r="F52" s="21" t="s">
        <v>113</v>
      </c>
      <c r="G52" s="22" t="s">
        <v>114</v>
      </c>
      <c r="H52" s="22" t="s">
        <v>62</v>
      </c>
      <c r="I52" s="22" t="s">
        <v>63</v>
      </c>
      <c r="J52" s="22" t="s">
        <v>64</v>
      </c>
      <c r="K52" s="22" t="s">
        <v>65</v>
      </c>
      <c r="L52" s="22" t="s">
        <v>66</v>
      </c>
      <c r="M52" s="22" t="s">
        <v>67</v>
      </c>
      <c r="N52" s="22" t="s">
        <v>68</v>
      </c>
      <c r="O52" s="22" t="s">
        <v>69</v>
      </c>
      <c r="P52" s="22" t="s">
        <v>70</v>
      </c>
      <c r="Q52" s="23" t="s">
        <v>71</v>
      </c>
    </row>
    <row r="53" spans="2:22" customFormat="1" ht="26.25" customHeight="1" outlineLevel="1" x14ac:dyDescent="0.2">
      <c r="B53" s="72" t="s">
        <v>150</v>
      </c>
      <c r="C53" s="70"/>
      <c r="D53" s="71" t="s">
        <v>148</v>
      </c>
      <c r="E53" s="70" t="s">
        <v>151</v>
      </c>
      <c r="F53" s="71" t="s">
        <v>11</v>
      </c>
      <c r="G53" s="73" t="s">
        <v>43</v>
      </c>
      <c r="H53" s="67" t="s">
        <v>149</v>
      </c>
      <c r="I53" s="67" t="s">
        <v>149</v>
      </c>
      <c r="J53" s="67" t="s">
        <v>149</v>
      </c>
      <c r="K53" s="67" t="s">
        <v>149</v>
      </c>
      <c r="L53" s="68"/>
      <c r="M53" s="68"/>
      <c r="N53" s="68"/>
      <c r="O53" s="68"/>
      <c r="P53" s="68"/>
      <c r="Q53" s="69"/>
    </row>
    <row r="54" spans="2:22" customFormat="1" ht="26.25" customHeight="1" outlineLevel="1" x14ac:dyDescent="0.2">
      <c r="B54" s="74" t="s">
        <v>158</v>
      </c>
      <c r="C54" s="70"/>
      <c r="D54" s="71" t="s">
        <v>148</v>
      </c>
      <c r="E54" s="70" t="s">
        <v>163</v>
      </c>
      <c r="F54" s="71" t="s">
        <v>11</v>
      </c>
      <c r="G54" s="73" t="s">
        <v>43</v>
      </c>
      <c r="H54" s="67">
        <v>0.5</v>
      </c>
      <c r="I54" s="67">
        <v>0.5</v>
      </c>
      <c r="J54" s="67">
        <v>0.5</v>
      </c>
      <c r="K54" s="67">
        <v>0.5</v>
      </c>
      <c r="L54" s="68"/>
      <c r="M54" s="68"/>
      <c r="N54" s="68"/>
      <c r="O54" s="68"/>
      <c r="P54" s="68"/>
      <c r="Q54" s="69"/>
    </row>
    <row r="55" spans="2:22" customFormat="1" ht="26.25" customHeight="1" outlineLevel="1" x14ac:dyDescent="0.2">
      <c r="B55" s="74" t="s">
        <v>159</v>
      </c>
      <c r="C55" s="70"/>
      <c r="D55" s="71" t="s">
        <v>148</v>
      </c>
      <c r="E55" s="70" t="s">
        <v>160</v>
      </c>
      <c r="F55" s="71" t="s">
        <v>11</v>
      </c>
      <c r="G55" s="73" t="s">
        <v>43</v>
      </c>
      <c r="H55" s="67">
        <v>0.9</v>
      </c>
      <c r="I55" s="67">
        <v>0.9</v>
      </c>
      <c r="J55" s="67">
        <v>0.9</v>
      </c>
      <c r="K55" s="67">
        <v>0.9</v>
      </c>
      <c r="L55" s="68"/>
      <c r="M55" s="68"/>
      <c r="N55" s="68"/>
      <c r="O55" s="68"/>
      <c r="P55" s="68"/>
      <c r="Q55" s="69"/>
    </row>
    <row r="56" spans="2:22" customFormat="1" ht="26.25" customHeight="1" outlineLevel="1" x14ac:dyDescent="0.2">
      <c r="B56" s="56" t="s">
        <v>85</v>
      </c>
      <c r="C56" s="57"/>
      <c r="D56" s="58" t="s">
        <v>148</v>
      </c>
      <c r="E56" s="59" t="s">
        <v>92</v>
      </c>
      <c r="F56" s="58" t="s">
        <v>94</v>
      </c>
      <c r="G56" s="60" t="s">
        <v>43</v>
      </c>
      <c r="H56" s="62" t="s">
        <v>95</v>
      </c>
      <c r="I56" s="62" t="s">
        <v>95</v>
      </c>
      <c r="J56" s="62" t="s">
        <v>95</v>
      </c>
      <c r="K56" s="62" t="s">
        <v>95</v>
      </c>
      <c r="L56" s="63"/>
      <c r="M56" s="63"/>
      <c r="N56" s="63"/>
      <c r="O56" s="63"/>
      <c r="P56" s="63"/>
      <c r="Q56" s="63"/>
    </row>
    <row r="58" spans="2:22" customFormat="1" ht="20" thickBot="1" x14ac:dyDescent="0.3">
      <c r="B58" s="36"/>
      <c r="C58" s="37" t="s">
        <v>29</v>
      </c>
      <c r="D58" s="33"/>
      <c r="E58" s="34"/>
      <c r="F58" s="33"/>
      <c r="G58" s="35"/>
      <c r="H58" s="35"/>
      <c r="I58" s="35"/>
      <c r="J58" s="35"/>
      <c r="K58" s="33"/>
      <c r="L58" s="33"/>
      <c r="M58" s="33"/>
      <c r="N58" s="33"/>
      <c r="O58" s="33"/>
      <c r="P58" s="33"/>
      <c r="Q58" s="33"/>
    </row>
    <row r="59" spans="2:22" ht="16" outlineLevel="1" thickTop="1" x14ac:dyDescent="0.2"/>
    <row r="60" spans="2:22" customFormat="1" ht="26.25" customHeight="1" outlineLevel="1" x14ac:dyDescent="0.2">
      <c r="B60" s="19"/>
      <c r="C60" s="20"/>
      <c r="D60" s="21" t="s">
        <v>111</v>
      </c>
      <c r="E60" s="21" t="s">
        <v>112</v>
      </c>
      <c r="F60" s="21" t="s">
        <v>113</v>
      </c>
      <c r="G60" s="23" t="s">
        <v>114</v>
      </c>
      <c r="H60" s="22" t="s">
        <v>62</v>
      </c>
      <c r="I60" s="22" t="s">
        <v>63</v>
      </c>
      <c r="J60" s="22" t="s">
        <v>64</v>
      </c>
      <c r="K60" s="22" t="s">
        <v>65</v>
      </c>
      <c r="L60" s="22" t="s">
        <v>66</v>
      </c>
      <c r="M60" s="22" t="s">
        <v>67</v>
      </c>
      <c r="N60" s="22" t="s">
        <v>68</v>
      </c>
      <c r="O60" s="22" t="s">
        <v>69</v>
      </c>
      <c r="P60" s="22" t="s">
        <v>70</v>
      </c>
      <c r="Q60" s="23" t="s">
        <v>71</v>
      </c>
    </row>
    <row r="61" spans="2:22" customFormat="1" ht="26.25" customHeight="1" outlineLevel="1" x14ac:dyDescent="0.2">
      <c r="B61" s="28" t="s">
        <v>145</v>
      </c>
      <c r="C61" s="29"/>
      <c r="D61" s="44" t="s">
        <v>48</v>
      </c>
      <c r="E61" s="47" t="s">
        <v>144</v>
      </c>
      <c r="F61" s="44" t="s">
        <v>94</v>
      </c>
      <c r="G61" s="48" t="s">
        <v>43</v>
      </c>
      <c r="H61" s="52" t="s">
        <v>143</v>
      </c>
      <c r="I61" s="52" t="s">
        <v>143</v>
      </c>
      <c r="J61" s="52" t="s">
        <v>143</v>
      </c>
      <c r="K61" s="52" t="s">
        <v>143</v>
      </c>
      <c r="L61" s="64"/>
      <c r="M61" s="64"/>
      <c r="N61" s="64"/>
      <c r="O61" s="64"/>
      <c r="P61" s="64"/>
      <c r="Q61" s="64"/>
    </row>
    <row r="62" spans="2:22" customFormat="1" ht="26.25" customHeight="1" outlineLevel="1" x14ac:dyDescent="0.2">
      <c r="B62" s="56" t="s">
        <v>85</v>
      </c>
      <c r="C62" s="57"/>
      <c r="D62" s="58" t="s">
        <v>48</v>
      </c>
      <c r="E62" s="59" t="s">
        <v>93</v>
      </c>
      <c r="F62" s="58" t="s">
        <v>94</v>
      </c>
      <c r="G62" s="60" t="s">
        <v>43</v>
      </c>
      <c r="H62" s="62" t="s">
        <v>95</v>
      </c>
      <c r="I62" s="62" t="s">
        <v>95</v>
      </c>
      <c r="J62" s="62" t="s">
        <v>95</v>
      </c>
      <c r="K62" s="62" t="s">
        <v>95</v>
      </c>
      <c r="L62" s="63"/>
      <c r="M62" s="63"/>
      <c r="N62" s="63"/>
      <c r="O62" s="63"/>
      <c r="P62" s="63"/>
      <c r="Q62" s="63"/>
    </row>
    <row r="64" spans="2:22" customFormat="1" ht="20" thickBot="1" x14ac:dyDescent="0.3">
      <c r="B64" s="36"/>
      <c r="C64" s="37" t="s">
        <v>30</v>
      </c>
      <c r="D64" s="33"/>
      <c r="E64" s="34"/>
      <c r="F64" s="33"/>
      <c r="G64" s="35"/>
      <c r="H64" s="35"/>
      <c r="I64" s="35"/>
      <c r="J64" s="35"/>
      <c r="K64" s="33"/>
      <c r="L64" s="33"/>
      <c r="M64" s="33"/>
      <c r="N64" s="33"/>
      <c r="O64" s="33"/>
      <c r="P64" s="33"/>
      <c r="Q64" s="33"/>
    </row>
    <row r="65" spans="2:17" ht="16" outlineLevel="1" thickTop="1" x14ac:dyDescent="0.2"/>
    <row r="66" spans="2:17" customFormat="1" ht="26.25" customHeight="1" outlineLevel="1" x14ac:dyDescent="0.2">
      <c r="B66" s="19"/>
      <c r="C66" s="20"/>
      <c r="D66" s="21" t="s">
        <v>111</v>
      </c>
      <c r="E66" s="21" t="s">
        <v>112</v>
      </c>
      <c r="F66" s="21" t="s">
        <v>113</v>
      </c>
      <c r="G66" s="22" t="s">
        <v>114</v>
      </c>
      <c r="H66" s="22" t="s">
        <v>62</v>
      </c>
      <c r="I66" s="22" t="s">
        <v>63</v>
      </c>
      <c r="J66" s="22" t="s">
        <v>64</v>
      </c>
      <c r="K66" s="22" t="s">
        <v>65</v>
      </c>
      <c r="L66" s="22" t="s">
        <v>66</v>
      </c>
      <c r="M66" s="22" t="s">
        <v>67</v>
      </c>
      <c r="N66" s="22" t="s">
        <v>68</v>
      </c>
      <c r="O66" s="22" t="s">
        <v>69</v>
      </c>
      <c r="P66" s="22" t="s">
        <v>70</v>
      </c>
      <c r="Q66" s="23" t="s">
        <v>71</v>
      </c>
    </row>
    <row r="67" spans="2:17" customFormat="1" ht="26.25" customHeight="1" outlineLevel="1" x14ac:dyDescent="0.2">
      <c r="B67" s="30" t="s">
        <v>96</v>
      </c>
      <c r="C67" s="31"/>
      <c r="D67" s="40" t="s">
        <v>147</v>
      </c>
      <c r="E67" s="41" t="s">
        <v>97</v>
      </c>
      <c r="F67" s="58" t="s">
        <v>94</v>
      </c>
      <c r="G67" s="60" t="s">
        <v>43</v>
      </c>
      <c r="H67" s="62" t="s">
        <v>146</v>
      </c>
      <c r="I67" s="62" t="s">
        <v>146</v>
      </c>
      <c r="J67" s="62" t="s">
        <v>146</v>
      </c>
      <c r="K67" s="62" t="s">
        <v>146</v>
      </c>
      <c r="L67" s="50"/>
      <c r="M67" s="50"/>
      <c r="N67" s="50"/>
      <c r="O67" s="50"/>
      <c r="P67" s="50"/>
      <c r="Q67" s="50"/>
    </row>
    <row r="69" spans="2:17" customFormat="1" ht="20" thickBot="1" x14ac:dyDescent="0.3">
      <c r="B69" s="36"/>
      <c r="C69" s="37" t="s">
        <v>72</v>
      </c>
      <c r="D69" s="33"/>
      <c r="E69" s="34"/>
      <c r="F69" s="33"/>
      <c r="G69" s="35"/>
      <c r="H69" s="35"/>
      <c r="I69" s="35"/>
      <c r="J69" s="35"/>
      <c r="K69" s="33"/>
      <c r="L69" s="33"/>
      <c r="M69" s="33"/>
      <c r="N69" s="33"/>
      <c r="O69" s="33"/>
      <c r="P69" s="33"/>
      <c r="Q69" s="33"/>
    </row>
    <row r="70" spans="2:17" customFormat="1" ht="16" outlineLevel="1" thickTop="1" x14ac:dyDescent="0.2"/>
    <row r="71" spans="2:17" s="24" customFormat="1" ht="20" outlineLevel="1" thickBot="1" x14ac:dyDescent="0.25">
      <c r="B71" s="53" t="s">
        <v>31</v>
      </c>
      <c r="C71" s="53" t="s">
        <v>84</v>
      </c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</row>
    <row r="72" spans="2:17" customFormat="1" outlineLevel="1" x14ac:dyDescent="0.2"/>
    <row r="73" spans="2:17" customFormat="1" ht="26.25" customHeight="1" outlineLevel="1" x14ac:dyDescent="0.2">
      <c r="B73" s="19"/>
      <c r="C73" s="20"/>
      <c r="D73" s="21" t="s">
        <v>111</v>
      </c>
      <c r="E73" s="21" t="s">
        <v>112</v>
      </c>
      <c r="F73" s="21" t="s">
        <v>113</v>
      </c>
      <c r="G73" s="22" t="s">
        <v>114</v>
      </c>
      <c r="H73" s="22" t="s">
        <v>62</v>
      </c>
      <c r="I73" s="22" t="s">
        <v>63</v>
      </c>
      <c r="J73" s="22" t="s">
        <v>64</v>
      </c>
      <c r="K73" s="22" t="s">
        <v>65</v>
      </c>
      <c r="L73" s="22" t="s">
        <v>66</v>
      </c>
      <c r="M73" s="22" t="s">
        <v>67</v>
      </c>
      <c r="N73" s="22" t="s">
        <v>68</v>
      </c>
      <c r="O73" s="22" t="s">
        <v>69</v>
      </c>
      <c r="P73" s="22" t="s">
        <v>70</v>
      </c>
      <c r="Q73" s="23" t="s">
        <v>71</v>
      </c>
    </row>
    <row r="74" spans="2:17" customFormat="1" ht="26.25" customHeight="1" outlineLevel="1" x14ac:dyDescent="0.2">
      <c r="B74" s="28" t="s">
        <v>58</v>
      </c>
      <c r="C74" s="29"/>
      <c r="D74" s="44" t="s">
        <v>83</v>
      </c>
      <c r="E74" s="47" t="s">
        <v>98</v>
      </c>
      <c r="F74" s="44" t="s">
        <v>12</v>
      </c>
      <c r="G74" s="48" t="s">
        <v>14</v>
      </c>
      <c r="H74" s="52">
        <v>2020</v>
      </c>
      <c r="I74" s="52">
        <v>2020</v>
      </c>
      <c r="J74" s="52">
        <v>2020</v>
      </c>
      <c r="K74" s="52" t="s">
        <v>174</v>
      </c>
      <c r="L74" s="49"/>
      <c r="M74" s="49"/>
      <c r="N74" s="49"/>
      <c r="O74" s="49"/>
      <c r="P74" s="49"/>
      <c r="Q74" s="49"/>
    </row>
    <row r="75" spans="2:17" customFormat="1" ht="26.25" customHeight="1" outlineLevel="1" x14ac:dyDescent="0.2">
      <c r="B75" s="28" t="s">
        <v>100</v>
      </c>
      <c r="C75" s="29"/>
      <c r="D75" s="44" t="s">
        <v>83</v>
      </c>
      <c r="E75" s="47" t="s">
        <v>122</v>
      </c>
      <c r="F75" s="44" t="s">
        <v>94</v>
      </c>
      <c r="G75" s="48" t="s">
        <v>43</v>
      </c>
      <c r="H75" s="51" t="s">
        <v>49</v>
      </c>
      <c r="I75" s="51" t="s">
        <v>49</v>
      </c>
      <c r="J75" s="51" t="s">
        <v>49</v>
      </c>
      <c r="K75" s="51" t="s">
        <v>49</v>
      </c>
      <c r="L75" s="49"/>
      <c r="M75" s="49"/>
      <c r="N75" s="49"/>
      <c r="O75" s="49"/>
      <c r="P75" s="49"/>
      <c r="Q75" s="49"/>
    </row>
    <row r="76" spans="2:17" customFormat="1" ht="26.25" customHeight="1" outlineLevel="1" x14ac:dyDescent="0.2">
      <c r="B76" s="30" t="s">
        <v>59</v>
      </c>
      <c r="C76" s="31"/>
      <c r="D76" s="40" t="s">
        <v>83</v>
      </c>
      <c r="E76" s="41" t="s">
        <v>99</v>
      </c>
      <c r="F76" s="40" t="s">
        <v>11</v>
      </c>
      <c r="G76" s="32" t="s">
        <v>44</v>
      </c>
      <c r="H76" s="50">
        <v>5000</v>
      </c>
      <c r="I76" s="50">
        <v>5000</v>
      </c>
      <c r="J76" s="50">
        <v>5000</v>
      </c>
      <c r="K76" s="50">
        <v>5000</v>
      </c>
      <c r="L76" s="50"/>
      <c r="M76" s="50"/>
      <c r="N76" s="50"/>
      <c r="O76" s="50"/>
      <c r="P76" s="50"/>
      <c r="Q76" s="50"/>
    </row>
    <row r="77" spans="2:17" customFormat="1" outlineLevel="1" x14ac:dyDescent="0.2"/>
    <row r="78" spans="2:17" s="24" customFormat="1" ht="20" outlineLevel="1" thickBot="1" x14ac:dyDescent="0.25">
      <c r="B78" s="53" t="s">
        <v>31</v>
      </c>
      <c r="C78" s="53" t="s">
        <v>36</v>
      </c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</row>
    <row r="79" spans="2:17" customFormat="1" outlineLevel="1" x14ac:dyDescent="0.2"/>
    <row r="80" spans="2:17" customFormat="1" ht="26.25" customHeight="1" outlineLevel="1" x14ac:dyDescent="0.2">
      <c r="B80" s="19"/>
      <c r="C80" s="20"/>
      <c r="D80" s="21" t="s">
        <v>111</v>
      </c>
      <c r="E80" s="21" t="s">
        <v>112</v>
      </c>
      <c r="F80" s="21" t="s">
        <v>113</v>
      </c>
      <c r="G80" s="22" t="s">
        <v>114</v>
      </c>
      <c r="H80" s="22" t="s">
        <v>62</v>
      </c>
      <c r="I80" s="22" t="s">
        <v>63</v>
      </c>
      <c r="J80" s="22" t="s">
        <v>64</v>
      </c>
      <c r="K80" s="22" t="s">
        <v>65</v>
      </c>
      <c r="L80" s="22" t="s">
        <v>66</v>
      </c>
      <c r="M80" s="22" t="s">
        <v>67</v>
      </c>
      <c r="N80" s="22" t="s">
        <v>68</v>
      </c>
      <c r="O80" s="22" t="s">
        <v>69</v>
      </c>
      <c r="P80" s="22" t="s">
        <v>70</v>
      </c>
      <c r="Q80" s="23" t="s">
        <v>71</v>
      </c>
    </row>
    <row r="81" spans="2:17" customFormat="1" ht="26.25" customHeight="1" outlineLevel="1" x14ac:dyDescent="0.2">
      <c r="B81" s="28" t="s">
        <v>58</v>
      </c>
      <c r="C81" s="29"/>
      <c r="D81" s="44" t="s">
        <v>73</v>
      </c>
      <c r="E81" s="47" t="s">
        <v>101</v>
      </c>
      <c r="F81" s="44" t="s">
        <v>12</v>
      </c>
      <c r="G81" s="48" t="s">
        <v>14</v>
      </c>
      <c r="H81" s="52">
        <v>2020</v>
      </c>
      <c r="I81" s="52">
        <v>2020</v>
      </c>
      <c r="J81" s="52" t="s">
        <v>174</v>
      </c>
      <c r="K81" s="52" t="s">
        <v>174</v>
      </c>
      <c r="L81" s="49"/>
      <c r="M81" s="49"/>
      <c r="N81" s="49"/>
      <c r="O81" s="49"/>
      <c r="P81" s="49"/>
      <c r="Q81" s="49"/>
    </row>
    <row r="82" spans="2:17" customFormat="1" ht="26.25" customHeight="1" outlineLevel="1" x14ac:dyDescent="0.2">
      <c r="B82" s="28" t="s">
        <v>100</v>
      </c>
      <c r="C82" s="29"/>
      <c r="D82" s="44" t="s">
        <v>73</v>
      </c>
      <c r="E82" s="47" t="s">
        <v>123</v>
      </c>
      <c r="F82" s="44" t="s">
        <v>94</v>
      </c>
      <c r="G82" s="48" t="s">
        <v>43</v>
      </c>
      <c r="H82" s="51" t="s">
        <v>49</v>
      </c>
      <c r="I82" s="51" t="s">
        <v>49</v>
      </c>
      <c r="J82" s="51" t="s">
        <v>49</v>
      </c>
      <c r="K82" s="51" t="s">
        <v>49</v>
      </c>
      <c r="L82" s="49"/>
      <c r="M82" s="49"/>
      <c r="N82" s="49"/>
      <c r="O82" s="49"/>
      <c r="P82" s="49"/>
      <c r="Q82" s="49"/>
    </row>
    <row r="83" spans="2:17" customFormat="1" ht="26.25" customHeight="1" outlineLevel="1" x14ac:dyDescent="0.2">
      <c r="B83" s="30" t="s">
        <v>59</v>
      </c>
      <c r="C83" s="31"/>
      <c r="D83" s="40" t="s">
        <v>73</v>
      </c>
      <c r="E83" s="41" t="s">
        <v>102</v>
      </c>
      <c r="F83" s="40" t="s">
        <v>11</v>
      </c>
      <c r="G83" s="32" t="s">
        <v>44</v>
      </c>
      <c r="H83" s="50">
        <v>5001</v>
      </c>
      <c r="I83" s="50">
        <v>5001</v>
      </c>
      <c r="J83" s="50">
        <v>5001</v>
      </c>
      <c r="K83" s="50">
        <v>5001</v>
      </c>
      <c r="L83" s="50"/>
      <c r="M83" s="50"/>
      <c r="N83" s="50"/>
      <c r="O83" s="50"/>
      <c r="P83" s="50"/>
      <c r="Q83" s="50"/>
    </row>
    <row r="84" spans="2:17" outlineLevel="1" x14ac:dyDescent="0.2"/>
    <row r="85" spans="2:17" s="24" customFormat="1" ht="20" outlineLevel="1" thickBot="1" x14ac:dyDescent="0.25">
      <c r="B85" s="53" t="s">
        <v>31</v>
      </c>
      <c r="C85" s="53" t="s">
        <v>37</v>
      </c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</row>
    <row r="86" spans="2:17" customFormat="1" outlineLevel="1" x14ac:dyDescent="0.2"/>
    <row r="87" spans="2:17" customFormat="1" ht="26.25" customHeight="1" outlineLevel="1" x14ac:dyDescent="0.2">
      <c r="B87" s="19"/>
      <c r="C87" s="20"/>
      <c r="D87" s="21" t="s">
        <v>111</v>
      </c>
      <c r="E87" s="21" t="s">
        <v>112</v>
      </c>
      <c r="F87" s="21" t="s">
        <v>113</v>
      </c>
      <c r="G87" s="22" t="s">
        <v>114</v>
      </c>
      <c r="H87" s="22" t="s">
        <v>62</v>
      </c>
      <c r="I87" s="22" t="s">
        <v>63</v>
      </c>
      <c r="J87" s="22" t="s">
        <v>64</v>
      </c>
      <c r="K87" s="22" t="s">
        <v>65</v>
      </c>
      <c r="L87" s="22" t="s">
        <v>66</v>
      </c>
      <c r="M87" s="22" t="s">
        <v>67</v>
      </c>
      <c r="N87" s="22" t="s">
        <v>68</v>
      </c>
      <c r="O87" s="22" t="s">
        <v>69</v>
      </c>
      <c r="P87" s="22" t="s">
        <v>70</v>
      </c>
      <c r="Q87" s="23" t="s">
        <v>71</v>
      </c>
    </row>
    <row r="88" spans="2:17" customFormat="1" ht="26.25" customHeight="1" outlineLevel="1" x14ac:dyDescent="0.2">
      <c r="B88" s="28" t="s">
        <v>58</v>
      </c>
      <c r="C88" s="29"/>
      <c r="D88" s="44" t="s">
        <v>74</v>
      </c>
      <c r="E88" s="47" t="s">
        <v>103</v>
      </c>
      <c r="F88" s="44" t="s">
        <v>12</v>
      </c>
      <c r="G88" s="48" t="s">
        <v>14</v>
      </c>
      <c r="H88" s="52">
        <v>2020</v>
      </c>
      <c r="I88" s="52" t="s">
        <v>174</v>
      </c>
      <c r="J88" s="52" t="s">
        <v>174</v>
      </c>
      <c r="K88" s="52" t="s">
        <v>174</v>
      </c>
      <c r="L88" s="49"/>
      <c r="M88" s="49"/>
      <c r="N88" s="49"/>
      <c r="O88" s="49"/>
      <c r="P88" s="49"/>
      <c r="Q88" s="49"/>
    </row>
    <row r="89" spans="2:17" customFormat="1" ht="26.25" customHeight="1" outlineLevel="1" x14ac:dyDescent="0.2">
      <c r="B89" s="28" t="s">
        <v>100</v>
      </c>
      <c r="C89" s="29"/>
      <c r="D89" s="44" t="s">
        <v>74</v>
      </c>
      <c r="E89" s="47" t="s">
        <v>124</v>
      </c>
      <c r="F89" s="44" t="s">
        <v>94</v>
      </c>
      <c r="G89" s="48" t="s">
        <v>43</v>
      </c>
      <c r="H89" s="51" t="s">
        <v>49</v>
      </c>
      <c r="I89" s="51" t="s">
        <v>49</v>
      </c>
      <c r="J89" s="51" t="s">
        <v>49</v>
      </c>
      <c r="K89" s="51" t="s">
        <v>49</v>
      </c>
      <c r="L89" s="49"/>
      <c r="M89" s="49"/>
      <c r="N89" s="49"/>
      <c r="O89" s="49"/>
      <c r="P89" s="49"/>
      <c r="Q89" s="49"/>
    </row>
    <row r="90" spans="2:17" customFormat="1" ht="26.25" customHeight="1" outlineLevel="1" x14ac:dyDescent="0.2">
      <c r="B90" s="30" t="s">
        <v>59</v>
      </c>
      <c r="C90" s="31"/>
      <c r="D90" s="40" t="s">
        <v>74</v>
      </c>
      <c r="E90" s="41" t="s">
        <v>104</v>
      </c>
      <c r="F90" s="40" t="s">
        <v>11</v>
      </c>
      <c r="G90" s="32" t="s">
        <v>44</v>
      </c>
      <c r="H90" s="50">
        <v>5002</v>
      </c>
      <c r="I90" s="50">
        <v>5002</v>
      </c>
      <c r="J90" s="50">
        <v>5002</v>
      </c>
      <c r="K90" s="50">
        <v>5002</v>
      </c>
      <c r="L90" s="50"/>
      <c r="M90" s="50"/>
      <c r="N90" s="50"/>
      <c r="O90" s="50"/>
      <c r="P90" s="50"/>
      <c r="Q90" s="50"/>
    </row>
    <row r="91" spans="2:17" outlineLevel="1" x14ac:dyDescent="0.2"/>
    <row r="92" spans="2:17" s="24" customFormat="1" ht="20" outlineLevel="1" thickBot="1" x14ac:dyDescent="0.25">
      <c r="B92" s="53" t="s">
        <v>31</v>
      </c>
      <c r="C92" s="53" t="s">
        <v>105</v>
      </c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</row>
    <row r="93" spans="2:17" customFormat="1" outlineLevel="1" x14ac:dyDescent="0.2"/>
    <row r="94" spans="2:17" customFormat="1" ht="26.25" customHeight="1" outlineLevel="1" x14ac:dyDescent="0.2">
      <c r="B94" s="19"/>
      <c r="C94" s="20"/>
      <c r="D94" s="21" t="s">
        <v>111</v>
      </c>
      <c r="E94" s="21" t="s">
        <v>112</v>
      </c>
      <c r="F94" s="21" t="s">
        <v>113</v>
      </c>
      <c r="G94" s="22" t="s">
        <v>114</v>
      </c>
      <c r="H94" s="22" t="s">
        <v>62</v>
      </c>
      <c r="I94" s="22" t="s">
        <v>63</v>
      </c>
      <c r="J94" s="22" t="s">
        <v>64</v>
      </c>
      <c r="K94" s="22" t="s">
        <v>65</v>
      </c>
      <c r="L94" s="22" t="s">
        <v>66</v>
      </c>
      <c r="M94" s="22" t="s">
        <v>67</v>
      </c>
      <c r="N94" s="22" t="s">
        <v>68</v>
      </c>
      <c r="O94" s="22" t="s">
        <v>69</v>
      </c>
      <c r="P94" s="22" t="s">
        <v>70</v>
      </c>
      <c r="Q94" s="23" t="s">
        <v>71</v>
      </c>
    </row>
    <row r="95" spans="2:17" customFormat="1" ht="26.25" customHeight="1" outlineLevel="1" x14ac:dyDescent="0.2">
      <c r="B95" s="28" t="s">
        <v>58</v>
      </c>
      <c r="C95" s="29"/>
      <c r="D95" s="44" t="s">
        <v>75</v>
      </c>
      <c r="E95" s="47" t="s">
        <v>106</v>
      </c>
      <c r="F95" s="44" t="s">
        <v>12</v>
      </c>
      <c r="G95" s="48" t="s">
        <v>14</v>
      </c>
      <c r="H95" s="52">
        <v>2020</v>
      </c>
      <c r="I95" s="52">
        <v>2020</v>
      </c>
      <c r="J95" s="52">
        <v>2020</v>
      </c>
      <c r="K95" s="52">
        <v>2020</v>
      </c>
      <c r="L95" s="49"/>
      <c r="M95" s="49"/>
      <c r="N95" s="49"/>
      <c r="O95" s="49"/>
      <c r="P95" s="49"/>
      <c r="Q95" s="49"/>
    </row>
    <row r="96" spans="2:17" customFormat="1" ht="26.25" customHeight="1" outlineLevel="1" x14ac:dyDescent="0.2">
      <c r="B96" s="28" t="s">
        <v>100</v>
      </c>
      <c r="C96" s="29"/>
      <c r="D96" s="44" t="s">
        <v>75</v>
      </c>
      <c r="E96" s="47" t="s">
        <v>125</v>
      </c>
      <c r="F96" s="44" t="s">
        <v>94</v>
      </c>
      <c r="G96" s="48" t="s">
        <v>43</v>
      </c>
      <c r="H96" s="51" t="s">
        <v>49</v>
      </c>
      <c r="I96" s="51" t="s">
        <v>49</v>
      </c>
      <c r="J96" s="51" t="s">
        <v>49</v>
      </c>
      <c r="K96" s="51" t="s">
        <v>49</v>
      </c>
      <c r="L96" s="49"/>
      <c r="M96" s="49"/>
      <c r="N96" s="49"/>
      <c r="O96" s="49"/>
      <c r="P96" s="49"/>
      <c r="Q96" s="49"/>
    </row>
    <row r="97" spans="2:18" customFormat="1" ht="26.25" customHeight="1" outlineLevel="1" x14ac:dyDescent="0.2">
      <c r="B97" s="30" t="s">
        <v>59</v>
      </c>
      <c r="C97" s="31"/>
      <c r="D97" s="40" t="s">
        <v>75</v>
      </c>
      <c r="E97" s="41" t="s">
        <v>107</v>
      </c>
      <c r="F97" s="40" t="s">
        <v>11</v>
      </c>
      <c r="G97" s="32" t="s">
        <v>44</v>
      </c>
      <c r="H97" s="50">
        <v>5003</v>
      </c>
      <c r="I97" s="50">
        <v>5003</v>
      </c>
      <c r="J97" s="50">
        <v>5003</v>
      </c>
      <c r="K97" s="50">
        <v>5003</v>
      </c>
      <c r="L97" s="50"/>
      <c r="M97" s="50"/>
      <c r="N97" s="50"/>
      <c r="O97" s="50"/>
      <c r="P97" s="50"/>
      <c r="Q97" s="50"/>
    </row>
    <row r="98" spans="2:18" customFormat="1" ht="26.25" customHeight="1" outlineLevel="1" x14ac:dyDescent="0.2">
      <c r="B98" s="38"/>
      <c r="C98" s="38"/>
      <c r="D98" s="42"/>
      <c r="E98" s="43"/>
      <c r="F98" s="42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</row>
    <row r="99" spans="2:18" s="24" customFormat="1" ht="20" outlineLevel="1" thickBot="1" x14ac:dyDescent="0.25">
      <c r="B99" s="53" t="s">
        <v>31</v>
      </c>
      <c r="C99" s="53" t="s">
        <v>38</v>
      </c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</row>
    <row r="100" spans="2:18" customFormat="1" outlineLevel="1" x14ac:dyDescent="0.2"/>
    <row r="101" spans="2:18" customFormat="1" ht="26.25" customHeight="1" outlineLevel="1" x14ac:dyDescent="0.2">
      <c r="B101" s="19"/>
      <c r="C101" s="20"/>
      <c r="D101" s="21" t="s">
        <v>111</v>
      </c>
      <c r="E101" s="21" t="s">
        <v>112</v>
      </c>
      <c r="F101" s="21" t="s">
        <v>113</v>
      </c>
      <c r="G101" s="22" t="s">
        <v>114</v>
      </c>
      <c r="H101" s="22" t="s">
        <v>62</v>
      </c>
      <c r="I101" s="22" t="s">
        <v>63</v>
      </c>
      <c r="J101" s="22" t="s">
        <v>64</v>
      </c>
      <c r="K101" s="22" t="s">
        <v>65</v>
      </c>
      <c r="L101" s="22" t="s">
        <v>66</v>
      </c>
      <c r="M101" s="22" t="s">
        <v>67</v>
      </c>
      <c r="N101" s="22" t="s">
        <v>68</v>
      </c>
      <c r="O101" s="22" t="s">
        <v>69</v>
      </c>
      <c r="P101" s="22" t="s">
        <v>70</v>
      </c>
      <c r="Q101" s="23" t="s">
        <v>71</v>
      </c>
    </row>
    <row r="102" spans="2:18" customFormat="1" ht="26.25" customHeight="1" outlineLevel="1" x14ac:dyDescent="0.2">
      <c r="B102" s="28" t="s">
        <v>58</v>
      </c>
      <c r="C102" s="29"/>
      <c r="D102" s="44" t="s">
        <v>76</v>
      </c>
      <c r="E102" s="47" t="s">
        <v>108</v>
      </c>
      <c r="F102" s="44" t="s">
        <v>12</v>
      </c>
      <c r="G102" s="48" t="s">
        <v>14</v>
      </c>
      <c r="H102" s="52">
        <v>2020</v>
      </c>
      <c r="I102" s="52">
        <v>2020</v>
      </c>
      <c r="J102" s="52">
        <v>2020</v>
      </c>
      <c r="K102" s="52">
        <v>2020</v>
      </c>
      <c r="L102" s="49"/>
      <c r="M102" s="49"/>
      <c r="N102" s="49"/>
      <c r="O102" s="49"/>
      <c r="P102" s="49"/>
      <c r="Q102" s="49"/>
    </row>
    <row r="103" spans="2:18" customFormat="1" ht="26.25" customHeight="1" outlineLevel="1" x14ac:dyDescent="0.2">
      <c r="B103" s="28" t="s">
        <v>100</v>
      </c>
      <c r="C103" s="29"/>
      <c r="D103" s="44" t="s">
        <v>76</v>
      </c>
      <c r="E103" s="47" t="s">
        <v>126</v>
      </c>
      <c r="F103" s="44" t="s">
        <v>94</v>
      </c>
      <c r="G103" s="48" t="s">
        <v>43</v>
      </c>
      <c r="H103" s="51" t="s">
        <v>49</v>
      </c>
      <c r="I103" s="51" t="s">
        <v>49</v>
      </c>
      <c r="J103" s="51" t="s">
        <v>49</v>
      </c>
      <c r="K103" s="51" t="s">
        <v>49</v>
      </c>
      <c r="L103" s="49"/>
      <c r="M103" s="49"/>
      <c r="N103" s="49"/>
      <c r="O103" s="49"/>
      <c r="P103" s="49"/>
      <c r="Q103" s="49"/>
    </row>
    <row r="104" spans="2:18" customFormat="1" ht="26.25" customHeight="1" outlineLevel="1" x14ac:dyDescent="0.2">
      <c r="B104" s="30" t="s">
        <v>59</v>
      </c>
      <c r="C104" s="31"/>
      <c r="D104" s="40" t="s">
        <v>76</v>
      </c>
      <c r="E104" s="41" t="s">
        <v>109</v>
      </c>
      <c r="F104" s="40" t="s">
        <v>11</v>
      </c>
      <c r="G104" s="32" t="s">
        <v>44</v>
      </c>
      <c r="H104" s="50">
        <v>5004</v>
      </c>
      <c r="I104" s="50">
        <v>5004</v>
      </c>
      <c r="J104" s="50">
        <v>5004</v>
      </c>
      <c r="K104" s="50">
        <v>5004</v>
      </c>
      <c r="L104" s="50"/>
      <c r="M104" s="50"/>
      <c r="N104" s="50"/>
      <c r="O104" s="50"/>
      <c r="P104" s="50"/>
      <c r="Q104" s="50"/>
    </row>
    <row r="106" spans="2:18" customFormat="1" ht="20" thickBot="1" x14ac:dyDescent="0.3">
      <c r="B106" s="36"/>
      <c r="C106" s="37" t="s">
        <v>39</v>
      </c>
      <c r="D106" s="33"/>
      <c r="E106" s="34"/>
      <c r="F106" s="33"/>
      <c r="G106" s="35"/>
      <c r="H106" s="35"/>
      <c r="I106" s="35"/>
      <c r="J106" s="35"/>
      <c r="K106" s="33"/>
      <c r="L106" s="33"/>
      <c r="M106" s="33"/>
      <c r="N106" s="33"/>
      <c r="O106" s="33"/>
      <c r="P106" s="33"/>
      <c r="Q106" s="33"/>
    </row>
    <row r="107" spans="2:18" customFormat="1" ht="16" outlineLevel="1" thickTop="1" x14ac:dyDescent="0.2"/>
    <row r="108" spans="2:18" s="24" customFormat="1" ht="20" outlineLevel="1" thickBot="1" x14ac:dyDescent="0.25">
      <c r="B108" s="53" t="s">
        <v>31</v>
      </c>
      <c r="C108" s="53" t="s">
        <v>81</v>
      </c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</row>
    <row r="109" spans="2:18" customFormat="1" outlineLevel="1" x14ac:dyDescent="0.2"/>
    <row r="110" spans="2:18" customFormat="1" ht="26.25" customHeight="1" outlineLevel="1" x14ac:dyDescent="0.2">
      <c r="B110" s="19"/>
      <c r="C110" s="20"/>
      <c r="D110" s="21" t="s">
        <v>111</v>
      </c>
      <c r="E110" s="21" t="s">
        <v>112</v>
      </c>
      <c r="F110" s="21" t="s">
        <v>113</v>
      </c>
      <c r="G110" s="22" t="s">
        <v>114</v>
      </c>
      <c r="H110" s="22" t="s">
        <v>62</v>
      </c>
      <c r="I110" s="22" t="s">
        <v>63</v>
      </c>
      <c r="J110" s="22" t="s">
        <v>64</v>
      </c>
      <c r="K110" s="22" t="s">
        <v>65</v>
      </c>
      <c r="L110" s="22" t="s">
        <v>66</v>
      </c>
      <c r="M110" s="22" t="s">
        <v>67</v>
      </c>
      <c r="N110" s="22" t="s">
        <v>68</v>
      </c>
      <c r="O110" s="22" t="s">
        <v>69</v>
      </c>
      <c r="P110" s="22" t="s">
        <v>70</v>
      </c>
      <c r="Q110" s="23" t="s">
        <v>71</v>
      </c>
    </row>
    <row r="111" spans="2:18" customFormat="1" ht="26.25" customHeight="1" outlineLevel="1" x14ac:dyDescent="0.2">
      <c r="B111" s="28" t="s">
        <v>116</v>
      </c>
      <c r="C111" s="29"/>
      <c r="D111" s="44" t="s">
        <v>82</v>
      </c>
      <c r="E111" s="47" t="s">
        <v>121</v>
      </c>
      <c r="F111" s="44" t="s">
        <v>94</v>
      </c>
      <c r="G111" s="48" t="s">
        <v>43</v>
      </c>
      <c r="H111" s="52" t="s">
        <v>49</v>
      </c>
      <c r="I111" s="52" t="s">
        <v>49</v>
      </c>
      <c r="J111" s="52" t="s">
        <v>49</v>
      </c>
      <c r="K111" s="52" t="s">
        <v>49</v>
      </c>
      <c r="L111" s="49"/>
      <c r="M111" s="49"/>
      <c r="N111" s="49"/>
      <c r="O111" s="49"/>
      <c r="P111" s="49"/>
      <c r="Q111" s="49"/>
    </row>
    <row r="112" spans="2:18" customFormat="1" ht="26.25" customHeight="1" outlineLevel="1" x14ac:dyDescent="0.2">
      <c r="B112" s="28" t="s">
        <v>117</v>
      </c>
      <c r="C112" s="29"/>
      <c r="D112" s="44" t="s">
        <v>82</v>
      </c>
      <c r="E112" s="47" t="s">
        <v>120</v>
      </c>
      <c r="F112" s="44" t="s">
        <v>94</v>
      </c>
      <c r="G112" s="48" t="s">
        <v>43</v>
      </c>
      <c r="H112" s="51" t="s">
        <v>49</v>
      </c>
      <c r="I112" s="51" t="s">
        <v>49</v>
      </c>
      <c r="J112" s="51" t="s">
        <v>49</v>
      </c>
      <c r="K112" s="51" t="s">
        <v>49</v>
      </c>
      <c r="L112" s="49"/>
      <c r="M112" s="49"/>
      <c r="N112" s="49"/>
      <c r="O112" s="49"/>
      <c r="P112" s="49"/>
      <c r="Q112" s="49"/>
    </row>
    <row r="113" spans="2:17" customFormat="1" ht="26.25" customHeight="1" outlineLevel="1" x14ac:dyDescent="0.2">
      <c r="B113" s="30" t="s">
        <v>118</v>
      </c>
      <c r="C113" s="31"/>
      <c r="D113" s="40" t="s">
        <v>82</v>
      </c>
      <c r="E113" s="41" t="s">
        <v>119</v>
      </c>
      <c r="F113" s="40" t="s">
        <v>11</v>
      </c>
      <c r="G113" s="32" t="s">
        <v>44</v>
      </c>
      <c r="H113" s="50">
        <v>100</v>
      </c>
      <c r="I113" s="50">
        <v>100</v>
      </c>
      <c r="J113" s="50">
        <v>100</v>
      </c>
      <c r="K113" s="50">
        <v>100</v>
      </c>
      <c r="L113" s="50"/>
      <c r="M113" s="50"/>
      <c r="N113" s="50"/>
      <c r="O113" s="50"/>
      <c r="P113" s="50"/>
      <c r="Q113" s="50"/>
    </row>
    <row r="114" spans="2:17" customFormat="1" outlineLevel="1" x14ac:dyDescent="0.2"/>
    <row r="115" spans="2:17" s="24" customFormat="1" ht="20" outlineLevel="1" thickBot="1" x14ac:dyDescent="0.25">
      <c r="B115" s="53" t="s">
        <v>31</v>
      </c>
      <c r="C115" s="53" t="s">
        <v>40</v>
      </c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</row>
    <row r="116" spans="2:17" customFormat="1" outlineLevel="1" x14ac:dyDescent="0.2"/>
    <row r="117" spans="2:17" customFormat="1" ht="26.25" customHeight="1" outlineLevel="1" x14ac:dyDescent="0.2">
      <c r="B117" s="19"/>
      <c r="C117" s="20"/>
      <c r="D117" s="21" t="s">
        <v>111</v>
      </c>
      <c r="E117" s="21" t="s">
        <v>112</v>
      </c>
      <c r="F117" s="21" t="s">
        <v>113</v>
      </c>
      <c r="G117" s="22" t="s">
        <v>114</v>
      </c>
      <c r="H117" s="22" t="s">
        <v>62</v>
      </c>
      <c r="I117" s="22" t="s">
        <v>63</v>
      </c>
      <c r="J117" s="22" t="s">
        <v>64</v>
      </c>
      <c r="K117" s="22" t="s">
        <v>65</v>
      </c>
      <c r="L117" s="22" t="s">
        <v>66</v>
      </c>
      <c r="M117" s="22" t="s">
        <v>67</v>
      </c>
      <c r="N117" s="22" t="s">
        <v>68</v>
      </c>
      <c r="O117" s="22" t="s">
        <v>69</v>
      </c>
      <c r="P117" s="22" t="s">
        <v>70</v>
      </c>
      <c r="Q117" s="23" t="s">
        <v>71</v>
      </c>
    </row>
    <row r="118" spans="2:17" customFormat="1" ht="26.25" customHeight="1" outlineLevel="1" x14ac:dyDescent="0.2">
      <c r="B118" s="28" t="s">
        <v>116</v>
      </c>
      <c r="C118" s="29"/>
      <c r="D118" s="44" t="s">
        <v>77</v>
      </c>
      <c r="E118" s="47" t="s">
        <v>127</v>
      </c>
      <c r="F118" s="44" t="s">
        <v>94</v>
      </c>
      <c r="G118" s="48" t="s">
        <v>43</v>
      </c>
      <c r="H118" s="52" t="s">
        <v>49</v>
      </c>
      <c r="I118" s="52" t="s">
        <v>49</v>
      </c>
      <c r="J118" s="52" t="s">
        <v>49</v>
      </c>
      <c r="K118" s="52" t="s">
        <v>49</v>
      </c>
      <c r="L118" s="49"/>
      <c r="M118" s="49"/>
      <c r="N118" s="49"/>
      <c r="O118" s="49"/>
      <c r="P118" s="49"/>
      <c r="Q118" s="49"/>
    </row>
    <row r="119" spans="2:17" customFormat="1" ht="26.25" customHeight="1" outlineLevel="1" x14ac:dyDescent="0.2">
      <c r="B119" s="28" t="s">
        <v>117</v>
      </c>
      <c r="C119" s="29"/>
      <c r="D119" s="44" t="s">
        <v>77</v>
      </c>
      <c r="E119" s="47" t="s">
        <v>128</v>
      </c>
      <c r="F119" s="44" t="s">
        <v>94</v>
      </c>
      <c r="G119" s="48" t="s">
        <v>43</v>
      </c>
      <c r="H119" s="51" t="s">
        <v>49</v>
      </c>
      <c r="I119" s="51" t="s">
        <v>49</v>
      </c>
      <c r="J119" s="51" t="s">
        <v>49</v>
      </c>
      <c r="K119" s="51" t="s">
        <v>49</v>
      </c>
      <c r="L119" s="49"/>
      <c r="M119" s="49"/>
      <c r="N119" s="49"/>
      <c r="O119" s="49"/>
      <c r="P119" s="49"/>
      <c r="Q119" s="49"/>
    </row>
    <row r="120" spans="2:17" customFormat="1" ht="26.25" customHeight="1" outlineLevel="1" x14ac:dyDescent="0.2">
      <c r="B120" s="30" t="s">
        <v>118</v>
      </c>
      <c r="C120" s="31"/>
      <c r="D120" s="40" t="s">
        <v>77</v>
      </c>
      <c r="E120" s="41" t="s">
        <v>129</v>
      </c>
      <c r="F120" s="40" t="s">
        <v>11</v>
      </c>
      <c r="G120" s="32" t="s">
        <v>44</v>
      </c>
      <c r="H120" s="50">
        <v>101</v>
      </c>
      <c r="I120" s="50">
        <v>101</v>
      </c>
      <c r="J120" s="50">
        <v>101</v>
      </c>
      <c r="K120" s="50">
        <v>101</v>
      </c>
      <c r="L120" s="50"/>
      <c r="M120" s="50"/>
      <c r="N120" s="50"/>
      <c r="O120" s="50"/>
      <c r="P120" s="50"/>
      <c r="Q120" s="50"/>
    </row>
    <row r="121" spans="2:17" outlineLevel="1" x14ac:dyDescent="0.2"/>
    <row r="122" spans="2:17" s="24" customFormat="1" ht="20" outlineLevel="1" thickBot="1" x14ac:dyDescent="0.25">
      <c r="B122" s="53" t="s">
        <v>31</v>
      </c>
      <c r="C122" s="53" t="s">
        <v>41</v>
      </c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</row>
    <row r="123" spans="2:17" customFormat="1" outlineLevel="1" x14ac:dyDescent="0.2"/>
    <row r="124" spans="2:17" customFormat="1" ht="26.25" customHeight="1" outlineLevel="1" x14ac:dyDescent="0.2">
      <c r="B124" s="19"/>
      <c r="C124" s="20"/>
      <c r="D124" s="21" t="s">
        <v>111</v>
      </c>
      <c r="E124" s="21" t="s">
        <v>112</v>
      </c>
      <c r="F124" s="21" t="s">
        <v>113</v>
      </c>
      <c r="G124" s="22" t="s">
        <v>114</v>
      </c>
      <c r="H124" s="22" t="s">
        <v>62</v>
      </c>
      <c r="I124" s="22" t="s">
        <v>63</v>
      </c>
      <c r="J124" s="22" t="s">
        <v>64</v>
      </c>
      <c r="K124" s="22" t="s">
        <v>65</v>
      </c>
      <c r="L124" s="22" t="s">
        <v>66</v>
      </c>
      <c r="M124" s="22" t="s">
        <v>67</v>
      </c>
      <c r="N124" s="22" t="s">
        <v>68</v>
      </c>
      <c r="O124" s="22" t="s">
        <v>69</v>
      </c>
      <c r="P124" s="22" t="s">
        <v>70</v>
      </c>
      <c r="Q124" s="23" t="s">
        <v>71</v>
      </c>
    </row>
    <row r="125" spans="2:17" customFormat="1" ht="26.25" customHeight="1" outlineLevel="1" x14ac:dyDescent="0.2">
      <c r="B125" s="28" t="s">
        <v>116</v>
      </c>
      <c r="C125" s="29"/>
      <c r="D125" s="44" t="s">
        <v>78</v>
      </c>
      <c r="E125" s="47" t="s">
        <v>130</v>
      </c>
      <c r="F125" s="44" t="s">
        <v>94</v>
      </c>
      <c r="G125" s="48" t="s">
        <v>43</v>
      </c>
      <c r="H125" s="52" t="s">
        <v>49</v>
      </c>
      <c r="I125" s="52" t="s">
        <v>49</v>
      </c>
      <c r="J125" s="52" t="s">
        <v>49</v>
      </c>
      <c r="K125" s="52" t="s">
        <v>49</v>
      </c>
      <c r="L125" s="49"/>
      <c r="M125" s="49"/>
      <c r="N125" s="49"/>
      <c r="O125" s="49"/>
      <c r="P125" s="49"/>
      <c r="Q125" s="49"/>
    </row>
    <row r="126" spans="2:17" customFormat="1" ht="26.25" customHeight="1" outlineLevel="1" x14ac:dyDescent="0.2">
      <c r="B126" s="28" t="s">
        <v>117</v>
      </c>
      <c r="C126" s="29"/>
      <c r="D126" s="44" t="s">
        <v>78</v>
      </c>
      <c r="E126" s="47" t="s">
        <v>131</v>
      </c>
      <c r="F126" s="44" t="s">
        <v>94</v>
      </c>
      <c r="G126" s="48" t="s">
        <v>43</v>
      </c>
      <c r="H126" s="51" t="s">
        <v>49</v>
      </c>
      <c r="I126" s="51" t="s">
        <v>49</v>
      </c>
      <c r="J126" s="51" t="s">
        <v>49</v>
      </c>
      <c r="K126" s="51" t="s">
        <v>49</v>
      </c>
      <c r="L126" s="49"/>
      <c r="M126" s="49"/>
      <c r="N126" s="49"/>
      <c r="O126" s="49"/>
      <c r="P126" s="49"/>
      <c r="Q126" s="49"/>
    </row>
    <row r="127" spans="2:17" customFormat="1" ht="26.25" customHeight="1" outlineLevel="1" x14ac:dyDescent="0.2">
      <c r="B127" s="30" t="s">
        <v>118</v>
      </c>
      <c r="C127" s="31"/>
      <c r="D127" s="40" t="s">
        <v>78</v>
      </c>
      <c r="E127" s="41" t="s">
        <v>132</v>
      </c>
      <c r="F127" s="40" t="s">
        <v>11</v>
      </c>
      <c r="G127" s="32" t="s">
        <v>44</v>
      </c>
      <c r="H127" s="50">
        <v>102</v>
      </c>
      <c r="I127" s="50">
        <v>102</v>
      </c>
      <c r="J127" s="50">
        <v>102</v>
      </c>
      <c r="K127" s="50">
        <v>102</v>
      </c>
      <c r="L127" s="50"/>
      <c r="M127" s="50"/>
      <c r="N127" s="50"/>
      <c r="O127" s="50"/>
      <c r="P127" s="50"/>
      <c r="Q127" s="50"/>
    </row>
    <row r="128" spans="2:17" outlineLevel="1" x14ac:dyDescent="0.2"/>
    <row r="129" spans="2:18" s="24" customFormat="1" ht="20" outlineLevel="1" thickBot="1" x14ac:dyDescent="0.25">
      <c r="B129" s="53" t="s">
        <v>31</v>
      </c>
      <c r="C129" s="53" t="s">
        <v>110</v>
      </c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</row>
    <row r="130" spans="2:18" customFormat="1" outlineLevel="1" x14ac:dyDescent="0.2"/>
    <row r="131" spans="2:18" customFormat="1" ht="26.25" customHeight="1" outlineLevel="1" x14ac:dyDescent="0.2">
      <c r="B131" s="19"/>
      <c r="C131" s="20"/>
      <c r="D131" s="21" t="s">
        <v>111</v>
      </c>
      <c r="E131" s="21" t="s">
        <v>112</v>
      </c>
      <c r="F131" s="21" t="s">
        <v>113</v>
      </c>
      <c r="G131" s="22" t="s">
        <v>114</v>
      </c>
      <c r="H131" s="22" t="s">
        <v>62</v>
      </c>
      <c r="I131" s="22" t="s">
        <v>63</v>
      </c>
      <c r="J131" s="22" t="s">
        <v>64</v>
      </c>
      <c r="K131" s="22" t="s">
        <v>65</v>
      </c>
      <c r="L131" s="22" t="s">
        <v>66</v>
      </c>
      <c r="M131" s="22" t="s">
        <v>67</v>
      </c>
      <c r="N131" s="22" t="s">
        <v>68</v>
      </c>
      <c r="O131" s="22" t="s">
        <v>69</v>
      </c>
      <c r="P131" s="22" t="s">
        <v>70</v>
      </c>
      <c r="Q131" s="23" t="s">
        <v>71</v>
      </c>
    </row>
    <row r="132" spans="2:18" customFormat="1" ht="26.25" customHeight="1" outlineLevel="1" x14ac:dyDescent="0.2">
      <c r="B132" s="28" t="s">
        <v>116</v>
      </c>
      <c r="C132" s="29"/>
      <c r="D132" s="44" t="s">
        <v>79</v>
      </c>
      <c r="E132" s="47" t="s">
        <v>133</v>
      </c>
      <c r="F132" s="44" t="s">
        <v>94</v>
      </c>
      <c r="G132" s="48" t="s">
        <v>43</v>
      </c>
      <c r="H132" s="52" t="s">
        <v>49</v>
      </c>
      <c r="I132" s="52" t="s">
        <v>49</v>
      </c>
      <c r="J132" s="52" t="s">
        <v>49</v>
      </c>
      <c r="K132" s="52" t="s">
        <v>49</v>
      </c>
      <c r="L132" s="49"/>
      <c r="M132" s="49"/>
      <c r="N132" s="49"/>
      <c r="O132" s="49"/>
      <c r="P132" s="49"/>
      <c r="Q132" s="49"/>
    </row>
    <row r="133" spans="2:18" customFormat="1" ht="26.25" customHeight="1" outlineLevel="1" x14ac:dyDescent="0.2">
      <c r="B133" s="28" t="s">
        <v>117</v>
      </c>
      <c r="C133" s="29"/>
      <c r="D133" s="44" t="s">
        <v>79</v>
      </c>
      <c r="E133" s="47" t="s">
        <v>134</v>
      </c>
      <c r="F133" s="44" t="s">
        <v>94</v>
      </c>
      <c r="G133" s="48" t="s">
        <v>43</v>
      </c>
      <c r="H133" s="51" t="s">
        <v>49</v>
      </c>
      <c r="I133" s="51" t="s">
        <v>49</v>
      </c>
      <c r="J133" s="51" t="s">
        <v>49</v>
      </c>
      <c r="K133" s="51" t="s">
        <v>49</v>
      </c>
      <c r="L133" s="49"/>
      <c r="M133" s="49"/>
      <c r="N133" s="49"/>
      <c r="O133" s="49"/>
      <c r="P133" s="49"/>
      <c r="Q133" s="49"/>
    </row>
    <row r="134" spans="2:18" customFormat="1" ht="26.25" customHeight="1" outlineLevel="1" x14ac:dyDescent="0.2">
      <c r="B134" s="30" t="s">
        <v>118</v>
      </c>
      <c r="C134" s="31"/>
      <c r="D134" s="40" t="s">
        <v>79</v>
      </c>
      <c r="E134" s="41" t="s">
        <v>135</v>
      </c>
      <c r="F134" s="40" t="s">
        <v>11</v>
      </c>
      <c r="G134" s="32" t="s">
        <v>44</v>
      </c>
      <c r="H134" s="50">
        <v>103</v>
      </c>
      <c r="I134" s="50">
        <v>103</v>
      </c>
      <c r="J134" s="50">
        <v>103</v>
      </c>
      <c r="K134" s="50">
        <v>103</v>
      </c>
      <c r="L134" s="50"/>
      <c r="M134" s="50"/>
      <c r="N134" s="50"/>
      <c r="O134" s="50"/>
      <c r="P134" s="50"/>
      <c r="Q134" s="50"/>
    </row>
    <row r="135" spans="2:18" customFormat="1" ht="26.25" customHeight="1" outlineLevel="1" x14ac:dyDescent="0.2">
      <c r="B135" s="38"/>
      <c r="C135" s="38"/>
      <c r="D135" s="42"/>
      <c r="E135" s="43"/>
      <c r="F135" s="42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</row>
    <row r="136" spans="2:18" s="24" customFormat="1" ht="20" outlineLevel="1" thickBot="1" x14ac:dyDescent="0.25">
      <c r="B136" s="53" t="s">
        <v>31</v>
      </c>
      <c r="C136" s="53" t="s">
        <v>42</v>
      </c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</row>
    <row r="137" spans="2:18" customFormat="1" outlineLevel="1" x14ac:dyDescent="0.2"/>
    <row r="138" spans="2:18" customFormat="1" ht="26.25" customHeight="1" outlineLevel="1" x14ac:dyDescent="0.2">
      <c r="B138" s="19"/>
      <c r="C138" s="20"/>
      <c r="D138" s="21" t="s">
        <v>111</v>
      </c>
      <c r="E138" s="21" t="s">
        <v>112</v>
      </c>
      <c r="F138" s="21" t="s">
        <v>113</v>
      </c>
      <c r="G138" s="22" t="s">
        <v>114</v>
      </c>
      <c r="H138" s="22" t="s">
        <v>62</v>
      </c>
      <c r="I138" s="22" t="s">
        <v>63</v>
      </c>
      <c r="J138" s="22" t="s">
        <v>64</v>
      </c>
      <c r="K138" s="22" t="s">
        <v>65</v>
      </c>
      <c r="L138" s="22" t="s">
        <v>66</v>
      </c>
      <c r="M138" s="22" t="s">
        <v>67</v>
      </c>
      <c r="N138" s="22" t="s">
        <v>68</v>
      </c>
      <c r="O138" s="22" t="s">
        <v>69</v>
      </c>
      <c r="P138" s="22" t="s">
        <v>70</v>
      </c>
      <c r="Q138" s="23" t="s">
        <v>71</v>
      </c>
    </row>
    <row r="139" spans="2:18" customFormat="1" ht="26.25" customHeight="1" outlineLevel="1" x14ac:dyDescent="0.2">
      <c r="B139" s="28" t="s">
        <v>116</v>
      </c>
      <c r="C139" s="29"/>
      <c r="D139" s="44" t="s">
        <v>80</v>
      </c>
      <c r="E139" s="47" t="s">
        <v>136</v>
      </c>
      <c r="F139" s="44" t="s">
        <v>94</v>
      </c>
      <c r="G139" s="48" t="s">
        <v>43</v>
      </c>
      <c r="H139" s="52" t="s">
        <v>49</v>
      </c>
      <c r="I139" s="52" t="s">
        <v>49</v>
      </c>
      <c r="J139" s="52" t="s">
        <v>49</v>
      </c>
      <c r="K139" s="52" t="s">
        <v>49</v>
      </c>
      <c r="L139" s="49"/>
      <c r="M139" s="49"/>
      <c r="N139" s="49"/>
      <c r="O139" s="49"/>
      <c r="P139" s="49"/>
      <c r="Q139" s="49"/>
    </row>
    <row r="140" spans="2:18" customFormat="1" ht="26.25" customHeight="1" outlineLevel="1" x14ac:dyDescent="0.2">
      <c r="B140" s="28" t="s">
        <v>117</v>
      </c>
      <c r="C140" s="29"/>
      <c r="D140" s="44" t="s">
        <v>80</v>
      </c>
      <c r="E140" s="47" t="s">
        <v>137</v>
      </c>
      <c r="F140" s="44" t="s">
        <v>94</v>
      </c>
      <c r="G140" s="48" t="s">
        <v>43</v>
      </c>
      <c r="H140" s="51" t="s">
        <v>49</v>
      </c>
      <c r="I140" s="51" t="s">
        <v>49</v>
      </c>
      <c r="J140" s="51" t="s">
        <v>49</v>
      </c>
      <c r="K140" s="51" t="s">
        <v>49</v>
      </c>
      <c r="L140" s="49"/>
      <c r="M140" s="49"/>
      <c r="N140" s="49"/>
      <c r="O140" s="49"/>
      <c r="P140" s="49"/>
      <c r="Q140" s="49"/>
    </row>
    <row r="141" spans="2:18" customFormat="1" ht="26.25" customHeight="1" outlineLevel="1" x14ac:dyDescent="0.2">
      <c r="B141" s="30" t="s">
        <v>118</v>
      </c>
      <c r="C141" s="31"/>
      <c r="D141" s="40" t="s">
        <v>80</v>
      </c>
      <c r="E141" s="41" t="s">
        <v>138</v>
      </c>
      <c r="F141" s="40" t="s">
        <v>11</v>
      </c>
      <c r="G141" s="32" t="s">
        <v>44</v>
      </c>
      <c r="H141" s="50">
        <v>104</v>
      </c>
      <c r="I141" s="50">
        <v>104</v>
      </c>
      <c r="J141" s="50">
        <v>104</v>
      </c>
      <c r="K141" s="50">
        <v>104</v>
      </c>
      <c r="L141" s="50"/>
      <c r="M141" s="50"/>
      <c r="N141" s="50"/>
      <c r="O141" s="50"/>
      <c r="P141" s="50"/>
      <c r="Q141" s="50"/>
    </row>
    <row r="143" spans="2:18" ht="26" customHeight="1" thickBot="1" x14ac:dyDescent="0.3">
      <c r="B143" s="36"/>
      <c r="C143" s="37" t="s">
        <v>152</v>
      </c>
      <c r="D143" s="33"/>
      <c r="E143" s="34"/>
      <c r="F143" s="33"/>
      <c r="G143" s="35"/>
      <c r="H143" s="35"/>
      <c r="I143" s="35"/>
      <c r="J143" s="35"/>
      <c r="K143" s="33"/>
      <c r="L143" s="33"/>
      <c r="M143" s="33"/>
      <c r="N143" s="33"/>
      <c r="O143" s="33"/>
      <c r="P143" s="33"/>
      <c r="Q143" s="33"/>
    </row>
    <row r="144" spans="2:18" ht="26" customHeight="1" thickTop="1" x14ac:dyDescent="0.2"/>
    <row r="145" spans="2:17" ht="26" customHeight="1" x14ac:dyDescent="0.2">
      <c r="B145" s="19"/>
      <c r="C145" s="20"/>
      <c r="D145" s="21" t="s">
        <v>111</v>
      </c>
      <c r="E145" s="21" t="s">
        <v>112</v>
      </c>
      <c r="F145" s="21" t="s">
        <v>113</v>
      </c>
      <c r="G145" s="23" t="s">
        <v>114</v>
      </c>
      <c r="H145" s="22" t="s">
        <v>62</v>
      </c>
      <c r="I145" s="22" t="s">
        <v>63</v>
      </c>
      <c r="J145" s="22" t="s">
        <v>64</v>
      </c>
      <c r="K145" s="22" t="s">
        <v>65</v>
      </c>
      <c r="L145" s="22" t="s">
        <v>66</v>
      </c>
      <c r="M145" s="22" t="s">
        <v>67</v>
      </c>
      <c r="N145" s="22" t="s">
        <v>68</v>
      </c>
      <c r="O145" s="22" t="s">
        <v>69</v>
      </c>
      <c r="P145" s="22" t="s">
        <v>70</v>
      </c>
      <c r="Q145" s="23" t="s">
        <v>71</v>
      </c>
    </row>
    <row r="146" spans="2:17" ht="26" customHeight="1" x14ac:dyDescent="0.2">
      <c r="B146" s="75" t="s">
        <v>153</v>
      </c>
      <c r="C146" s="76"/>
      <c r="D146" s="77" t="s">
        <v>152</v>
      </c>
      <c r="E146" s="78" t="s">
        <v>154</v>
      </c>
      <c r="F146" s="77" t="s">
        <v>94</v>
      </c>
      <c r="G146" s="79" t="s">
        <v>43</v>
      </c>
      <c r="H146" s="80" t="s">
        <v>157</v>
      </c>
      <c r="I146" s="80" t="s">
        <v>157</v>
      </c>
      <c r="J146" s="80" t="s">
        <v>157</v>
      </c>
      <c r="K146" s="80" t="s">
        <v>157</v>
      </c>
      <c r="L146" s="64"/>
      <c r="M146" s="64"/>
      <c r="N146" s="64"/>
      <c r="O146" s="64"/>
      <c r="P146" s="64"/>
      <c r="Q146" s="64"/>
    </row>
    <row r="147" spans="2:17" ht="26" customHeight="1" x14ac:dyDescent="0.2">
      <c r="B147" s="86" t="s">
        <v>158</v>
      </c>
      <c r="C147" s="88"/>
      <c r="D147" s="87" t="s">
        <v>152</v>
      </c>
      <c r="E147" s="82" t="s">
        <v>162</v>
      </c>
      <c r="F147" s="81" t="s">
        <v>11</v>
      </c>
      <c r="G147" s="83" t="s">
        <v>43</v>
      </c>
      <c r="H147" s="84" t="s">
        <v>161</v>
      </c>
      <c r="I147" s="84" t="s">
        <v>161</v>
      </c>
      <c r="J147" s="84" t="s">
        <v>161</v>
      </c>
      <c r="K147" s="84" t="s">
        <v>161</v>
      </c>
      <c r="L147" s="85"/>
      <c r="M147" s="85"/>
      <c r="N147" s="85"/>
      <c r="O147" s="85"/>
      <c r="P147" s="85"/>
      <c r="Q147" s="85"/>
    </row>
    <row r="148" spans="2:17" ht="26" customHeight="1" x14ac:dyDescent="0.2">
      <c r="B148" s="56" t="s">
        <v>159</v>
      </c>
      <c r="C148" s="57"/>
      <c r="D148" s="58" t="s">
        <v>152</v>
      </c>
      <c r="E148" s="59" t="s">
        <v>155</v>
      </c>
      <c r="F148" s="58" t="s">
        <v>11</v>
      </c>
      <c r="G148" s="60" t="s">
        <v>43</v>
      </c>
      <c r="H148" s="62" t="s">
        <v>156</v>
      </c>
      <c r="I148" s="62" t="s">
        <v>156</v>
      </c>
      <c r="J148" s="62" t="s">
        <v>156</v>
      </c>
      <c r="K148" s="62" t="s">
        <v>156</v>
      </c>
      <c r="L148" s="63"/>
      <c r="M148" s="63"/>
      <c r="N148" s="63"/>
      <c r="O148" s="63"/>
      <c r="P148" s="63"/>
      <c r="Q148" s="63"/>
    </row>
    <row r="150" spans="2:17" ht="20" thickBot="1" x14ac:dyDescent="0.3">
      <c r="B150" s="36"/>
      <c r="C150" s="37" t="s">
        <v>164</v>
      </c>
      <c r="D150" s="33"/>
      <c r="E150" s="34"/>
      <c r="F150" s="33"/>
      <c r="G150" s="35"/>
      <c r="H150" s="35"/>
      <c r="I150" s="35"/>
      <c r="J150" s="35"/>
      <c r="K150" s="33"/>
      <c r="L150" s="33"/>
      <c r="M150" s="33"/>
      <c r="N150" s="33"/>
      <c r="O150" s="33"/>
      <c r="P150" s="33"/>
      <c r="Q150" s="33"/>
    </row>
    <row r="151" spans="2:17" ht="16" thickTop="1" x14ac:dyDescent="0.2"/>
    <row r="152" spans="2:17" x14ac:dyDescent="0.2">
      <c r="B152" s="19"/>
      <c r="C152" s="20"/>
      <c r="D152" s="21" t="s">
        <v>111</v>
      </c>
      <c r="E152" s="21" t="s">
        <v>112</v>
      </c>
      <c r="F152" s="21" t="s">
        <v>113</v>
      </c>
      <c r="G152" s="23" t="s">
        <v>114</v>
      </c>
      <c r="H152" s="22" t="s">
        <v>62</v>
      </c>
      <c r="I152" s="22" t="s">
        <v>63</v>
      </c>
      <c r="J152" s="22" t="s">
        <v>64</v>
      </c>
      <c r="K152" s="22" t="s">
        <v>65</v>
      </c>
      <c r="L152" s="22" t="s">
        <v>66</v>
      </c>
      <c r="M152" s="22" t="s">
        <v>67</v>
      </c>
      <c r="N152" s="22" t="s">
        <v>68</v>
      </c>
      <c r="O152" s="22" t="s">
        <v>69</v>
      </c>
      <c r="P152" s="22" t="s">
        <v>70</v>
      </c>
      <c r="Q152" s="23" t="s">
        <v>71</v>
      </c>
    </row>
    <row r="153" spans="2:17" x14ac:dyDescent="0.2">
      <c r="B153" s="86" t="s">
        <v>165</v>
      </c>
      <c r="C153" s="88"/>
      <c r="D153" s="81" t="s">
        <v>166</v>
      </c>
      <c r="E153" s="82" t="s">
        <v>167</v>
      </c>
      <c r="F153" s="81" t="s">
        <v>94</v>
      </c>
      <c r="G153" s="83" t="s">
        <v>43</v>
      </c>
      <c r="H153" s="84" t="s">
        <v>175</v>
      </c>
      <c r="I153" s="84" t="s">
        <v>175</v>
      </c>
      <c r="J153" s="84" t="s">
        <v>175</v>
      </c>
      <c r="K153" s="84" t="s">
        <v>175</v>
      </c>
      <c r="L153" s="85"/>
      <c r="M153" s="85"/>
      <c r="N153" s="85"/>
      <c r="O153" s="85"/>
      <c r="P153" s="85"/>
      <c r="Q153" s="85"/>
    </row>
    <row r="155" spans="2:17" ht="20" thickBot="1" x14ac:dyDescent="0.3">
      <c r="B155" s="36"/>
      <c r="C155" s="37" t="s">
        <v>168</v>
      </c>
      <c r="D155" s="33"/>
      <c r="E155" s="34"/>
      <c r="F155" s="33"/>
      <c r="G155" s="35"/>
      <c r="H155" s="35"/>
      <c r="I155" s="35"/>
      <c r="J155" s="35"/>
      <c r="K155" s="33"/>
      <c r="L155" s="33"/>
      <c r="M155" s="33"/>
      <c r="N155" s="33"/>
      <c r="O155" s="33"/>
      <c r="P155" s="33"/>
      <c r="Q155" s="33"/>
    </row>
    <row r="156" spans="2:17" ht="16" thickTop="1" x14ac:dyDescent="0.2"/>
    <row r="157" spans="2:17" x14ac:dyDescent="0.2">
      <c r="B157" s="19"/>
      <c r="C157" s="20"/>
      <c r="D157" s="21" t="s">
        <v>111</v>
      </c>
      <c r="E157" s="21" t="s">
        <v>112</v>
      </c>
      <c r="F157" s="21" t="s">
        <v>113</v>
      </c>
      <c r="G157" s="23" t="s">
        <v>114</v>
      </c>
      <c r="H157" s="22" t="s">
        <v>62</v>
      </c>
      <c r="I157" s="22" t="s">
        <v>63</v>
      </c>
      <c r="J157" s="22" t="s">
        <v>64</v>
      </c>
      <c r="K157" s="22" t="s">
        <v>65</v>
      </c>
      <c r="L157" s="22" t="s">
        <v>66</v>
      </c>
      <c r="M157" s="22" t="s">
        <v>67</v>
      </c>
      <c r="N157" s="22" t="s">
        <v>68</v>
      </c>
      <c r="O157" s="22" t="s">
        <v>69</v>
      </c>
      <c r="P157" s="22" t="s">
        <v>70</v>
      </c>
      <c r="Q157" s="23" t="s">
        <v>71</v>
      </c>
    </row>
    <row r="158" spans="2:17" x14ac:dyDescent="0.2">
      <c r="B158" s="86" t="s">
        <v>169</v>
      </c>
      <c r="C158" s="88"/>
      <c r="D158" s="81" t="s">
        <v>168</v>
      </c>
      <c r="E158" s="82" t="s">
        <v>170</v>
      </c>
      <c r="F158" s="81" t="s">
        <v>94</v>
      </c>
      <c r="G158" s="83" t="s">
        <v>43</v>
      </c>
      <c r="H158" s="84" t="s">
        <v>171</v>
      </c>
      <c r="I158" s="84" t="s">
        <v>171</v>
      </c>
      <c r="J158" s="84" t="s">
        <v>171</v>
      </c>
      <c r="K158" s="84" t="s">
        <v>171</v>
      </c>
      <c r="L158" s="85"/>
      <c r="M158" s="85"/>
      <c r="N158" s="85"/>
      <c r="O158" s="85"/>
      <c r="P158" s="85"/>
      <c r="Q158" s="85"/>
    </row>
  </sheetData>
  <phoneticPr fontId="2" type="noConversion"/>
  <conditionalFormatting sqref="H9:Q9 H16:Q18 H67:Q67">
    <cfRule type="expression" dxfId="12" priority="296">
      <formula>#REF!=0</formula>
    </cfRule>
  </conditionalFormatting>
  <conditionalFormatting sqref="H23:Q25">
    <cfRule type="expression" dxfId="11" priority="20">
      <formula>#REF!=0</formula>
    </cfRule>
  </conditionalFormatting>
  <conditionalFormatting sqref="H30:Q32">
    <cfRule type="expression" dxfId="10" priority="17">
      <formula>#REF!=0</formula>
    </cfRule>
  </conditionalFormatting>
  <conditionalFormatting sqref="H39:Q41">
    <cfRule type="expression" dxfId="9" priority="16">
      <formula>#REF!=0</formula>
    </cfRule>
  </conditionalFormatting>
  <conditionalFormatting sqref="H46:Q48">
    <cfRule type="expression" dxfId="8" priority="5">
      <formula>#REF!=0</formula>
    </cfRule>
  </conditionalFormatting>
  <conditionalFormatting sqref="H56:Q56">
    <cfRule type="expression" dxfId="7" priority="11">
      <formula>#REF!=0</formula>
    </cfRule>
  </conditionalFormatting>
  <conditionalFormatting sqref="H61:Q62">
    <cfRule type="expression" dxfId="6" priority="4">
      <formula>#REF!=0</formula>
    </cfRule>
  </conditionalFormatting>
  <conditionalFormatting sqref="H74:Q76 H81:Q83 H88:Q90 H95:Q97 H102:Q104 H111:Q113">
    <cfRule type="expression" dxfId="5" priority="12">
      <formula>#REF!=0</formula>
    </cfRule>
  </conditionalFormatting>
  <conditionalFormatting sqref="H118:Q120">
    <cfRule type="expression" dxfId="4" priority="10">
      <formula>#REF!=0</formula>
    </cfRule>
  </conditionalFormatting>
  <conditionalFormatting sqref="H125:Q127 H132:Q134 H139:Q141">
    <cfRule type="expression" dxfId="3" priority="6">
      <formula>#REF!=0</formula>
    </cfRule>
  </conditionalFormatting>
  <conditionalFormatting sqref="H146:Q148">
    <cfRule type="expression" dxfId="2" priority="3">
      <formula>#REF!=0</formula>
    </cfRule>
  </conditionalFormatting>
  <conditionalFormatting sqref="H153:Q153">
    <cfRule type="expression" dxfId="1" priority="2">
      <formula>#REF!=0</formula>
    </cfRule>
  </conditionalFormatting>
  <conditionalFormatting sqref="H158:Q158">
    <cfRule type="expression" dxfId="0" priority="1">
      <formula>#REF!=0</formula>
    </cfRule>
  </conditionalFormatting>
  <pageMargins left="0.7" right="0.7" top="0.75" bottom="0.75" header="0.3" footer="0.3"/>
  <pageSetup paperSize="9" orientation="portrait"/>
  <headerFooter>
    <oddFooter>&amp;C_x000D_&amp;1#&amp;"Verdana"&amp;7&amp;K000000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1FDB-D72E-442A-9DF7-AD7CEAE68AE8}">
  <sheetPr>
    <tabColor rgb="FF0000CC"/>
  </sheetPr>
  <dimension ref="A1:N59"/>
  <sheetViews>
    <sheetView zoomScale="145" zoomScaleNormal="145" workbookViewId="0">
      <selection activeCell="E59" sqref="E59"/>
    </sheetView>
  </sheetViews>
  <sheetFormatPr baseColWidth="10" defaultColWidth="12.83203125" defaultRowHeight="15" x14ac:dyDescent="0.2"/>
  <cols>
    <col min="1" max="1" width="18.1640625" bestFit="1" customWidth="1"/>
    <col min="2" max="2" width="34.6640625" bestFit="1" customWidth="1"/>
    <col min="3" max="3" width="12.83203125" style="15"/>
    <col min="5" max="7" width="26" style="66" bestFit="1" customWidth="1"/>
    <col min="8" max="13" width="9.6640625" style="66" bestFit="1" customWidth="1"/>
    <col min="14" max="14" width="10.6640625" style="66" bestFit="1" customWidth="1"/>
  </cols>
  <sheetData>
    <row r="1" spans="1:14" x14ac:dyDescent="0.2">
      <c r="A1" t="str">
        <f>'Project setup'!D8</f>
        <v>label</v>
      </c>
      <c r="B1" t="str">
        <f>'Project setup'!E8</f>
        <v>key</v>
      </c>
      <c r="C1" t="str">
        <f>'Project setup'!F8</f>
        <v>format</v>
      </c>
      <c r="D1" t="str">
        <f>'Project setup'!G8</f>
        <v>unit</v>
      </c>
      <c r="E1" s="65" t="str">
        <f>'Project setup'!H8</f>
        <v>scenario_1</v>
      </c>
      <c r="F1" s="65" t="str">
        <f>'Project setup'!I8</f>
        <v>scenario_2</v>
      </c>
      <c r="G1" s="65" t="str">
        <f>'Project setup'!J8</f>
        <v>scenario_3</v>
      </c>
      <c r="H1" s="65" t="str">
        <f>'Project setup'!K8</f>
        <v>scenario_4</v>
      </c>
      <c r="I1" s="65" t="str">
        <f>'Project setup'!L8</f>
        <v>scenario_5</v>
      </c>
      <c r="J1" s="65" t="str">
        <f>'Project setup'!M8</f>
        <v>scenario_6</v>
      </c>
      <c r="K1" s="65" t="str">
        <f>'Project setup'!N8</f>
        <v>scenario_7</v>
      </c>
      <c r="L1" s="65" t="str">
        <f>'Project setup'!O8</f>
        <v>scenario_8</v>
      </c>
      <c r="M1" s="65" t="str">
        <f>'Project setup'!P8</f>
        <v>scenario_9</v>
      </c>
      <c r="N1" s="65" t="str">
        <f>'Project setup'!Q8</f>
        <v>scenario_10</v>
      </c>
    </row>
    <row r="2" spans="1:14" x14ac:dyDescent="0.2">
      <c r="A2" s="45" t="str">
        <f>'Project setup'!D9</f>
        <v>SETUP</v>
      </c>
      <c r="B2" s="45" t="str">
        <f>'Project setup'!E9</f>
        <v>prediction_year</v>
      </c>
      <c r="C2" s="45" t="str">
        <f>'Project setup'!F9</f>
        <v>int</v>
      </c>
      <c r="D2" s="45" t="str">
        <f>'Project setup'!G9</f>
        <v>Year</v>
      </c>
      <c r="E2" s="66">
        <f>'Project setup'!H9</f>
        <v>2040</v>
      </c>
      <c r="F2" s="66">
        <f>'Project setup'!I9</f>
        <v>2040</v>
      </c>
      <c r="G2" s="66">
        <f>'Project setup'!J9</f>
        <v>2040</v>
      </c>
      <c r="H2" s="66">
        <f>'Project setup'!K9</f>
        <v>2040</v>
      </c>
      <c r="I2" s="66">
        <f>'Project setup'!L9</f>
        <v>0</v>
      </c>
      <c r="J2" s="66">
        <f>'Project setup'!M9</f>
        <v>0</v>
      </c>
      <c r="K2" s="66">
        <f>'Project setup'!N9</f>
        <v>0</v>
      </c>
      <c r="L2" s="66">
        <f>'Project setup'!O9</f>
        <v>0</v>
      </c>
      <c r="M2" s="66">
        <f>'Project setup'!P9</f>
        <v>0</v>
      </c>
      <c r="N2" s="66">
        <f>'Project setup'!Q9</f>
        <v>0</v>
      </c>
    </row>
    <row r="3" spans="1:14" x14ac:dyDescent="0.2">
      <c r="A3" s="45" t="str">
        <f>'Project setup'!D16</f>
        <v>WIND_ON</v>
      </c>
      <c r="B3" s="45" t="str">
        <f>'Project setup'!E16</f>
        <v>wind_onshore_wy</v>
      </c>
      <c r="C3" s="45" t="str">
        <f>'Project setup'!F16</f>
        <v>int</v>
      </c>
      <c r="D3" s="45" t="str">
        <f>'Project setup'!G16</f>
        <v>Year</v>
      </c>
      <c r="E3" s="66">
        <f>'Project setup'!H16</f>
        <v>2020</v>
      </c>
      <c r="F3" s="66">
        <f>'Project setup'!I16</f>
        <v>2021</v>
      </c>
      <c r="G3" s="66" t="str">
        <f>'Project setup'!J16</f>
        <v>2023</v>
      </c>
      <c r="H3" s="66">
        <f>'Project setup'!K16</f>
        <v>2024</v>
      </c>
      <c r="I3" s="66">
        <f>'Project setup'!L16</f>
        <v>0</v>
      </c>
      <c r="J3" s="66">
        <f>'Project setup'!M16</f>
        <v>0</v>
      </c>
      <c r="K3" s="66">
        <f>'Project setup'!N16</f>
        <v>0</v>
      </c>
      <c r="L3" s="66">
        <f>'Project setup'!O16</f>
        <v>0</v>
      </c>
      <c r="M3" s="66">
        <f>'Project setup'!P16</f>
        <v>0</v>
      </c>
      <c r="N3" s="66">
        <f>'Project setup'!Q16</f>
        <v>0</v>
      </c>
    </row>
    <row r="4" spans="1:14" x14ac:dyDescent="0.2">
      <c r="A4" s="45" t="str">
        <f>'Project setup'!D17</f>
        <v>WIND_ON</v>
      </c>
      <c r="B4" s="45" t="str">
        <f>'Project setup'!E17</f>
        <v>wind_onshore_cap_file</v>
      </c>
      <c r="C4" s="45" t="str">
        <f>'Project setup'!F17</f>
        <v>str</v>
      </c>
      <c r="D4" s="45" t="str">
        <f>'Project setup'!G17</f>
        <v>-</v>
      </c>
      <c r="E4" s="66" t="str">
        <f>'Project setup'!H17</f>
        <v>TYNDP_2024_National_Trends</v>
      </c>
      <c r="F4" s="66" t="str">
        <f>'Project setup'!I17</f>
        <v>TYNDP_2024_National_Trends</v>
      </c>
      <c r="G4" s="66" t="str">
        <f>'Project setup'!J17</f>
        <v>TYNDP_2024_National_Trends</v>
      </c>
      <c r="H4" s="66" t="str">
        <f>'Project setup'!K17</f>
        <v>TYNDP_2024_National_Trends</v>
      </c>
      <c r="I4" s="66">
        <f>'Project setup'!L17</f>
        <v>0</v>
      </c>
      <c r="J4" s="66">
        <f>'Project setup'!M17</f>
        <v>0</v>
      </c>
      <c r="K4" s="66">
        <f>'Project setup'!N17</f>
        <v>0</v>
      </c>
      <c r="L4" s="66">
        <f>'Project setup'!O17</f>
        <v>0</v>
      </c>
      <c r="M4" s="66">
        <f>'Project setup'!P17</f>
        <v>0</v>
      </c>
      <c r="N4" s="66">
        <f>'Project setup'!Q17</f>
        <v>0</v>
      </c>
    </row>
    <row r="5" spans="1:14" x14ac:dyDescent="0.2">
      <c r="A5" s="45" t="str">
        <f>'Project setup'!D18</f>
        <v>WIND_ON</v>
      </c>
      <c r="B5" s="45" t="str">
        <f>'Project setup'!E18</f>
        <v>wind_onshore_bid_price</v>
      </c>
      <c r="C5" s="45" t="str">
        <f>'Project setup'!F18</f>
        <v>float</v>
      </c>
      <c r="D5" s="45" t="str">
        <f>'Project setup'!G18</f>
        <v xml:space="preserve"> </v>
      </c>
      <c r="E5" s="66">
        <f>'Project setup'!H18</f>
        <v>0.01</v>
      </c>
      <c r="F5" s="66">
        <f>'Project setup'!I18</f>
        <v>0.01</v>
      </c>
      <c r="G5" s="66">
        <f>'Project setup'!J18</f>
        <v>0.01</v>
      </c>
      <c r="H5" s="66">
        <f>'Project setup'!K18</f>
        <v>0.01</v>
      </c>
      <c r="I5" s="66">
        <f>'Project setup'!L18</f>
        <v>0</v>
      </c>
      <c r="J5" s="66">
        <f>'Project setup'!M18</f>
        <v>0</v>
      </c>
      <c r="K5" s="66">
        <f>'Project setup'!N18</f>
        <v>0</v>
      </c>
      <c r="L5" s="66">
        <f>'Project setup'!O18</f>
        <v>0</v>
      </c>
      <c r="M5" s="66">
        <f>'Project setup'!P18</f>
        <v>0</v>
      </c>
      <c r="N5" s="66">
        <f>'Project setup'!Q18</f>
        <v>0</v>
      </c>
    </row>
    <row r="6" spans="1:14" x14ac:dyDescent="0.2">
      <c r="A6" s="45" t="str">
        <f>'Project setup'!D23</f>
        <v>WIND_OFF</v>
      </c>
      <c r="B6" s="45" t="str">
        <f>'Project setup'!E23</f>
        <v>wind_offshore_wy</v>
      </c>
      <c r="C6" s="45" t="str">
        <f>'Project setup'!F23</f>
        <v>int</v>
      </c>
      <c r="D6" s="45" t="str">
        <f>'Project setup'!G23</f>
        <v>Year</v>
      </c>
      <c r="E6" s="66">
        <f>'Project setup'!H23</f>
        <v>2020</v>
      </c>
      <c r="F6" s="66">
        <f>'Project setup'!I23</f>
        <v>2021</v>
      </c>
      <c r="G6" s="66">
        <f>'Project setup'!J23</f>
        <v>2023</v>
      </c>
      <c r="H6" s="66">
        <f>'Project setup'!K23</f>
        <v>2024</v>
      </c>
      <c r="I6" s="66">
        <f>'Project setup'!L23</f>
        <v>0</v>
      </c>
      <c r="J6" s="66">
        <f>'Project setup'!M23</f>
        <v>0</v>
      </c>
      <c r="K6" s="66">
        <f>'Project setup'!N23</f>
        <v>0</v>
      </c>
      <c r="L6" s="66">
        <f>'Project setup'!O23</f>
        <v>0</v>
      </c>
      <c r="M6" s="66">
        <f>'Project setup'!P23</f>
        <v>0</v>
      </c>
      <c r="N6" s="66">
        <f>'Project setup'!Q23</f>
        <v>0</v>
      </c>
    </row>
    <row r="7" spans="1:14" x14ac:dyDescent="0.2">
      <c r="A7" s="45" t="str">
        <f>'Project setup'!D24</f>
        <v>WIND_OFF</v>
      </c>
      <c r="B7" s="45" t="str">
        <f>'Project setup'!E24</f>
        <v>wind_offshore_cap_file</v>
      </c>
      <c r="C7" s="45" t="str">
        <f>'Project setup'!F24</f>
        <v>str</v>
      </c>
      <c r="D7" s="45" t="str">
        <f>'Project setup'!G24</f>
        <v>-</v>
      </c>
      <c r="E7" s="66" t="str">
        <f>'Project setup'!H24</f>
        <v>TYNDP_2024_National_Trends</v>
      </c>
      <c r="F7" s="66" t="str">
        <f>'Project setup'!I24</f>
        <v>TYNDP_2024_National_Trends</v>
      </c>
      <c r="G7" s="66" t="str">
        <f>'Project setup'!J24</f>
        <v>TYNDP_2024_National_Trends</v>
      </c>
      <c r="H7" s="66" t="str">
        <f>'Project setup'!K24</f>
        <v>TYNDP_2024_National_Trends</v>
      </c>
      <c r="I7" s="66">
        <f>'Project setup'!L24</f>
        <v>0</v>
      </c>
      <c r="J7" s="66">
        <f>'Project setup'!M24</f>
        <v>0</v>
      </c>
      <c r="K7" s="66">
        <f>'Project setup'!N24</f>
        <v>0</v>
      </c>
      <c r="L7" s="66">
        <f>'Project setup'!O24</f>
        <v>0</v>
      </c>
      <c r="M7" s="66">
        <f>'Project setup'!P24</f>
        <v>0</v>
      </c>
      <c r="N7" s="66">
        <f>'Project setup'!Q24</f>
        <v>0</v>
      </c>
    </row>
    <row r="8" spans="1:14" x14ac:dyDescent="0.2">
      <c r="A8" s="45" t="str">
        <f>'Project setup'!D25</f>
        <v>WIND_OFF</v>
      </c>
      <c r="B8" s="45" t="str">
        <f>'Project setup'!E25</f>
        <v>wind_offshore_bid_price</v>
      </c>
      <c r="C8" s="45" t="str">
        <f>'Project setup'!F25</f>
        <v>float</v>
      </c>
      <c r="D8" s="45" t="str">
        <f>'Project setup'!G25</f>
        <v>EUR/MWh</v>
      </c>
      <c r="E8" s="66">
        <f>'Project setup'!H25</f>
        <v>0.02</v>
      </c>
      <c r="F8" s="66">
        <f>'Project setup'!I25</f>
        <v>0.02</v>
      </c>
      <c r="G8" s="66">
        <f>'Project setup'!J25</f>
        <v>0.02</v>
      </c>
      <c r="H8" s="66">
        <f>'Project setup'!K25</f>
        <v>0.02</v>
      </c>
      <c r="I8" s="66">
        <f>'Project setup'!L25</f>
        <v>0</v>
      </c>
      <c r="J8" s="66">
        <f>'Project setup'!M25</f>
        <v>0</v>
      </c>
      <c r="K8" s="66">
        <f>'Project setup'!N25</f>
        <v>0</v>
      </c>
      <c r="L8" s="66">
        <f>'Project setup'!O25</f>
        <v>0</v>
      </c>
      <c r="M8" s="66">
        <f>'Project setup'!P25</f>
        <v>0</v>
      </c>
      <c r="N8" s="66">
        <f>'Project setup'!Q25</f>
        <v>0</v>
      </c>
    </row>
    <row r="9" spans="1:14" x14ac:dyDescent="0.2">
      <c r="A9" s="45" t="str">
        <f>'Project setup'!D30</f>
        <v>SOLAR</v>
      </c>
      <c r="B9" s="45" t="str">
        <f>'Project setup'!E30</f>
        <v>solar_pv_wy</v>
      </c>
      <c r="C9" s="45" t="str">
        <f>'Project setup'!F30</f>
        <v>int</v>
      </c>
      <c r="D9" s="45" t="str">
        <f>'Project setup'!G30</f>
        <v>Year</v>
      </c>
      <c r="E9" s="66">
        <f>'Project setup'!H30</f>
        <v>2020</v>
      </c>
      <c r="F9" s="66" t="str">
        <f>'Project setup'!I30</f>
        <v>2021</v>
      </c>
      <c r="G9" s="66" t="str">
        <f>'Project setup'!J30</f>
        <v>2023</v>
      </c>
      <c r="H9" s="66">
        <f>'Project setup'!K30</f>
        <v>2024</v>
      </c>
      <c r="I9" s="66">
        <f>'Project setup'!L30</f>
        <v>0</v>
      </c>
      <c r="J9" s="66">
        <f>'Project setup'!M30</f>
        <v>0</v>
      </c>
      <c r="K9" s="66">
        <f>'Project setup'!N30</f>
        <v>0</v>
      </c>
      <c r="L9" s="66">
        <f>'Project setup'!O30</f>
        <v>0</v>
      </c>
      <c r="M9" s="66">
        <f>'Project setup'!P30</f>
        <v>0</v>
      </c>
      <c r="N9" s="66">
        <f>'Project setup'!Q30</f>
        <v>0</v>
      </c>
    </row>
    <row r="10" spans="1:14" x14ac:dyDescent="0.2">
      <c r="A10" s="45" t="str">
        <f>'Project setup'!D31</f>
        <v>SOLAR</v>
      </c>
      <c r="B10" s="45" t="str">
        <f>'Project setup'!E31</f>
        <v>solar_pv_cap_file</v>
      </c>
      <c r="C10" s="45" t="str">
        <f>'Project setup'!F31</f>
        <v>str</v>
      </c>
      <c r="D10" s="45" t="str">
        <f>'Project setup'!G31</f>
        <v>-</v>
      </c>
      <c r="E10" s="66" t="str">
        <f>'Project setup'!H31</f>
        <v>TYNDP_2024_National_Trends</v>
      </c>
      <c r="F10" s="66" t="str">
        <f>'Project setup'!I31</f>
        <v>TYNDP_2024_National_Trends</v>
      </c>
      <c r="G10" s="66" t="str">
        <f>'Project setup'!J31</f>
        <v>TYNDP_2024_National_Trends</v>
      </c>
      <c r="H10" s="66" t="str">
        <f>'Project setup'!K31</f>
        <v>TYNDP_2024_National_Trends</v>
      </c>
      <c r="I10" s="66">
        <f>'Project setup'!L31</f>
        <v>0</v>
      </c>
      <c r="J10" s="66">
        <f>'Project setup'!M31</f>
        <v>0</v>
      </c>
      <c r="K10" s="66">
        <f>'Project setup'!N31</f>
        <v>0</v>
      </c>
      <c r="L10" s="66">
        <f>'Project setup'!O31</f>
        <v>0</v>
      </c>
      <c r="M10" s="66">
        <f>'Project setup'!P31</f>
        <v>0</v>
      </c>
      <c r="N10" s="66">
        <f>'Project setup'!Q31</f>
        <v>0</v>
      </c>
    </row>
    <row r="11" spans="1:14" x14ac:dyDescent="0.2">
      <c r="A11" s="45" t="str">
        <f>'Project setup'!D32</f>
        <v>SOLAR</v>
      </c>
      <c r="B11" s="45" t="str">
        <f>'Project setup'!E32</f>
        <v>solar_pv_bid_price</v>
      </c>
      <c r="C11" s="45" t="str">
        <f>'Project setup'!F32</f>
        <v>float</v>
      </c>
      <c r="D11" s="45" t="str">
        <f>'Project setup'!G32</f>
        <v>EUR/MWh</v>
      </c>
      <c r="E11" s="66">
        <f>'Project setup'!H32</f>
        <v>0.03</v>
      </c>
      <c r="F11" s="66">
        <f>'Project setup'!I32</f>
        <v>0.03</v>
      </c>
      <c r="G11" s="66">
        <f>'Project setup'!J32</f>
        <v>0.03</v>
      </c>
      <c r="H11" s="66">
        <f>'Project setup'!K32</f>
        <v>0.03</v>
      </c>
      <c r="I11" s="66">
        <f>'Project setup'!L32</f>
        <v>0</v>
      </c>
      <c r="J11" s="66">
        <f>'Project setup'!M32</f>
        <v>0</v>
      </c>
      <c r="K11" s="66">
        <f>'Project setup'!N32</f>
        <v>0</v>
      </c>
      <c r="L11" s="66">
        <f>'Project setup'!O32</f>
        <v>0</v>
      </c>
      <c r="M11" s="66">
        <f>'Project setup'!P32</f>
        <v>0</v>
      </c>
      <c r="N11" s="66">
        <f>'Project setup'!Q32</f>
        <v>0</v>
      </c>
    </row>
    <row r="12" spans="1:14" x14ac:dyDescent="0.2">
      <c r="A12" s="45" t="str">
        <f>'Project setup'!D39</f>
        <v>HYDRO_ROR</v>
      </c>
      <c r="B12" s="45" t="str">
        <f>'Project setup'!E39</f>
        <v>hydro_ror_wy</v>
      </c>
      <c r="C12" s="45" t="str">
        <f>'Project setup'!F39</f>
        <v>int</v>
      </c>
      <c r="D12" s="45" t="str">
        <f>'Project setup'!G39</f>
        <v>Year</v>
      </c>
      <c r="E12" s="66">
        <f>'Project setup'!H39</f>
        <v>2020</v>
      </c>
      <c r="F12" s="66" t="str">
        <f>'Project setup'!I39</f>
        <v>2021</v>
      </c>
      <c r="G12" s="66" t="str">
        <f>'Project setup'!J39</f>
        <v>2023</v>
      </c>
      <c r="H12" s="66">
        <f>'Project setup'!K39</f>
        <v>2024</v>
      </c>
      <c r="I12" s="66">
        <f>'Project setup'!L39</f>
        <v>0</v>
      </c>
      <c r="J12" s="66">
        <f>'Project setup'!M39</f>
        <v>0</v>
      </c>
      <c r="K12" s="66">
        <f>'Project setup'!N39</f>
        <v>0</v>
      </c>
      <c r="L12" s="66">
        <f>'Project setup'!O39</f>
        <v>0</v>
      </c>
      <c r="M12" s="66">
        <f>'Project setup'!P39</f>
        <v>0</v>
      </c>
      <c r="N12" s="66">
        <f>'Project setup'!Q39</f>
        <v>0</v>
      </c>
    </row>
    <row r="13" spans="1:14" x14ac:dyDescent="0.2">
      <c r="A13" s="45" t="str">
        <f>'Project setup'!D40</f>
        <v>HYDRO_ROR</v>
      </c>
      <c r="B13" s="45" t="str">
        <f>'Project setup'!E40</f>
        <v>hydro_ror_cap_file</v>
      </c>
      <c r="C13" s="45" t="str">
        <f>'Project setup'!F40</f>
        <v>str</v>
      </c>
      <c r="D13" s="45" t="str">
        <f>'Project setup'!G40</f>
        <v>-</v>
      </c>
      <c r="E13" s="66" t="str">
        <f>'Project setup'!H40</f>
        <v>TYNDP_2024_National_Trends</v>
      </c>
      <c r="F13" s="66" t="str">
        <f>'Project setup'!I40</f>
        <v>TYNDP_2024_National_Trends</v>
      </c>
      <c r="G13" s="66" t="str">
        <f>'Project setup'!J40</f>
        <v>TYNDP_2024_National_Trends</v>
      </c>
      <c r="H13" s="66" t="str">
        <f>'Project setup'!K40</f>
        <v>TYNDP_2024_National_Trends</v>
      </c>
      <c r="I13" s="66">
        <f>'Project setup'!L40</f>
        <v>0</v>
      </c>
      <c r="J13" s="66">
        <f>'Project setup'!M40</f>
        <v>0</v>
      </c>
      <c r="K13" s="66">
        <f>'Project setup'!N40</f>
        <v>0</v>
      </c>
      <c r="L13" s="66">
        <f>'Project setup'!O40</f>
        <v>0</v>
      </c>
      <c r="M13" s="66">
        <f>'Project setup'!P40</f>
        <v>0</v>
      </c>
      <c r="N13" s="66">
        <f>'Project setup'!Q40</f>
        <v>0</v>
      </c>
    </row>
    <row r="14" spans="1:14" x14ac:dyDescent="0.2">
      <c r="A14" s="45" t="str">
        <f>'Project setup'!D41</f>
        <v>HYDRO_ROR</v>
      </c>
      <c r="B14" s="45" t="str">
        <f>'Project setup'!E41</f>
        <v>hydro_ror_bid_price</v>
      </c>
      <c r="C14" s="45" t="str">
        <f>'Project setup'!F41</f>
        <v>float</v>
      </c>
      <c r="D14" s="45" t="str">
        <f>'Project setup'!G41</f>
        <v>EUR/MWh</v>
      </c>
      <c r="E14" s="66">
        <f>'Project setup'!H41</f>
        <v>0.04</v>
      </c>
      <c r="F14" s="66">
        <f>'Project setup'!I41</f>
        <v>0.04</v>
      </c>
      <c r="G14" s="66">
        <f>'Project setup'!J41</f>
        <v>0.04</v>
      </c>
      <c r="H14" s="66">
        <f>'Project setup'!K41</f>
        <v>0.04</v>
      </c>
      <c r="I14" s="66">
        <f>'Project setup'!L41</f>
        <v>0</v>
      </c>
      <c r="J14" s="66">
        <f>'Project setup'!M41</f>
        <v>0</v>
      </c>
      <c r="K14" s="66">
        <f>'Project setup'!N41</f>
        <v>0</v>
      </c>
      <c r="L14" s="66">
        <f>'Project setup'!O41</f>
        <v>0</v>
      </c>
      <c r="M14" s="66">
        <f>'Project setup'!P41</f>
        <v>0</v>
      </c>
      <c r="N14" s="66">
        <f>'Project setup'!Q41</f>
        <v>0</v>
      </c>
    </row>
    <row r="15" spans="1:14" x14ac:dyDescent="0.2">
      <c r="A15" s="45" t="str">
        <f>'Project setup'!D46</f>
        <v>HYDRO_RES</v>
      </c>
      <c r="B15" s="45" t="str">
        <f>'Project setup'!E46</f>
        <v>hydro_res_units_file</v>
      </c>
      <c r="C15" s="45" t="str">
        <f>'Project setup'!F46</f>
        <v>float</v>
      </c>
      <c r="D15" s="45" t="str">
        <f>'Project setup'!G46</f>
        <v>%</v>
      </c>
      <c r="E15" s="66" t="str">
        <f>'Project setup'!H46</f>
        <v>hydro_reservoir_units</v>
      </c>
      <c r="F15" s="66" t="str">
        <f>'Project setup'!I46</f>
        <v>hydro_reservoir_units</v>
      </c>
      <c r="G15" s="66" t="str">
        <f>'Project setup'!J46</f>
        <v>hydro_reservoir_units</v>
      </c>
      <c r="H15" s="66" t="str">
        <f>'Project setup'!K46</f>
        <v>hydro_reservoir_units</v>
      </c>
      <c r="I15" s="66">
        <f>'Project setup'!L46</f>
        <v>0</v>
      </c>
      <c r="J15" s="66">
        <f>'Project setup'!M46</f>
        <v>0</v>
      </c>
      <c r="K15" s="66">
        <f>'Project setup'!N46</f>
        <v>0</v>
      </c>
      <c r="L15" s="66">
        <f>'Project setup'!O46</f>
        <v>0</v>
      </c>
      <c r="M15" s="66">
        <f>'Project setup'!P46</f>
        <v>0</v>
      </c>
      <c r="N15" s="66">
        <f>'Project setup'!Q46</f>
        <v>0</v>
      </c>
    </row>
    <row r="16" spans="1:14" x14ac:dyDescent="0.2">
      <c r="A16" s="45" t="str">
        <f>'Project setup'!D47</f>
        <v>HYDRO_RES</v>
      </c>
      <c r="B16" s="45" t="str">
        <f>'Project setup'!E47</f>
        <v>hydro_res_energy_wy</v>
      </c>
      <c r="C16" s="45" t="str">
        <f>'Project setup'!F47</f>
        <v>float</v>
      </c>
      <c r="D16" s="45" t="str">
        <f>'Project setup'!G47</f>
        <v>%</v>
      </c>
      <c r="E16" s="66">
        <f>'Project setup'!H47</f>
        <v>2020</v>
      </c>
      <c r="F16" s="66" t="str">
        <f>'Project setup'!I47</f>
        <v>2021</v>
      </c>
      <c r="G16" s="66" t="str">
        <f>'Project setup'!J47</f>
        <v>2023</v>
      </c>
      <c r="H16" s="66">
        <f>'Project setup'!K47</f>
        <v>2024</v>
      </c>
      <c r="I16" s="66">
        <f>'Project setup'!L47</f>
        <v>0</v>
      </c>
      <c r="J16" s="66">
        <f>'Project setup'!M47</f>
        <v>0</v>
      </c>
      <c r="K16" s="66">
        <f>'Project setup'!N47</f>
        <v>0</v>
      </c>
      <c r="L16" s="66">
        <f>'Project setup'!O47</f>
        <v>0</v>
      </c>
      <c r="M16" s="66">
        <f>'Project setup'!P47</f>
        <v>0</v>
      </c>
      <c r="N16" s="66">
        <f>'Project setup'!Q47</f>
        <v>0</v>
      </c>
    </row>
    <row r="17" spans="1:14" x14ac:dyDescent="0.2">
      <c r="A17" s="45" t="str">
        <f>'Project setup'!D48</f>
        <v>HYDRO_RES</v>
      </c>
      <c r="B17" s="45" t="str">
        <f>'Project setup'!E48</f>
        <v>hydro_res_bid_price</v>
      </c>
      <c r="C17" s="45" t="str">
        <f>'Project setup'!F48</f>
        <v>str</v>
      </c>
      <c r="D17" s="45" t="str">
        <f>'Project setup'!G48</f>
        <v>-</v>
      </c>
      <c r="E17" s="66" t="str">
        <f>'Project setup'!H48</f>
        <v>ramboll</v>
      </c>
      <c r="F17" s="66" t="str">
        <f>'Project setup'!I48</f>
        <v>ramboll</v>
      </c>
      <c r="G17" s="66" t="str">
        <f>'Project setup'!J48</f>
        <v>ramboll</v>
      </c>
      <c r="H17" s="66" t="str">
        <f>'Project setup'!K48</f>
        <v>ramboll</v>
      </c>
      <c r="I17" s="66">
        <f>'Project setup'!L48</f>
        <v>0</v>
      </c>
      <c r="J17" s="66">
        <f>'Project setup'!M48</f>
        <v>0</v>
      </c>
      <c r="K17" s="66">
        <f>'Project setup'!N48</f>
        <v>0</v>
      </c>
      <c r="L17" s="66">
        <f>'Project setup'!O48</f>
        <v>0</v>
      </c>
      <c r="M17" s="66">
        <f>'Project setup'!P48</f>
        <v>0</v>
      </c>
      <c r="N17" s="66">
        <f>'Project setup'!Q48</f>
        <v>0</v>
      </c>
    </row>
    <row r="18" spans="1:14" x14ac:dyDescent="0.2">
      <c r="A18" s="45" t="str">
        <f>'Project setup'!D53</f>
        <v>HYDRO_PS</v>
      </c>
      <c r="B18" s="45" t="str">
        <f>'Project setup'!E53</f>
        <v>hydro_ps_units_file</v>
      </c>
      <c r="C18" s="45" t="str">
        <f>'Project setup'!F53</f>
        <v>float</v>
      </c>
      <c r="D18" s="45" t="str">
        <f>'Project setup'!G53</f>
        <v>-</v>
      </c>
      <c r="E18" s="45" t="str">
        <f>'Project setup'!H53</f>
        <v>hydro_pumped_storage_units</v>
      </c>
      <c r="F18" s="45" t="str">
        <f>'Project setup'!I53</f>
        <v>hydro_pumped_storage_units</v>
      </c>
      <c r="G18" s="45" t="str">
        <f>'Project setup'!J53</f>
        <v>hydro_pumped_storage_units</v>
      </c>
      <c r="H18" s="66" t="str">
        <f>'Project setup'!K53</f>
        <v>hydro_pumped_storage_units</v>
      </c>
      <c r="I18" s="66">
        <f>'Project setup'!L53</f>
        <v>0</v>
      </c>
      <c r="J18" s="66">
        <f>'Project setup'!M53</f>
        <v>0</v>
      </c>
      <c r="K18" s="66">
        <f>'Project setup'!N53</f>
        <v>0</v>
      </c>
      <c r="L18" s="66">
        <f>'Project setup'!O53</f>
        <v>0</v>
      </c>
      <c r="M18" s="66">
        <f>'Project setup'!P53</f>
        <v>0</v>
      </c>
      <c r="N18" s="66">
        <f>'Project setup'!Q53</f>
        <v>0</v>
      </c>
    </row>
    <row r="19" spans="1:14" x14ac:dyDescent="0.2">
      <c r="A19" s="66" t="str">
        <f>'Project setup'!D54</f>
        <v>HYDRO_PS</v>
      </c>
      <c r="B19" s="66" t="str">
        <f>'Project setup'!E54</f>
        <v>hydro_ps_initial_soc</v>
      </c>
      <c r="C19" s="66" t="str">
        <f>'Project setup'!F54</f>
        <v>float</v>
      </c>
      <c r="D19" s="66" t="str">
        <f>'Project setup'!G54</f>
        <v>-</v>
      </c>
      <c r="E19" s="66">
        <f>'Project setup'!H54</f>
        <v>0.5</v>
      </c>
      <c r="F19" s="66">
        <f>'Project setup'!I54</f>
        <v>0.5</v>
      </c>
      <c r="G19" s="66">
        <f>'Project setup'!J54</f>
        <v>0.5</v>
      </c>
      <c r="H19" s="66">
        <f>'Project setup'!K54</f>
        <v>0.5</v>
      </c>
      <c r="I19" s="66">
        <f>'Project setup'!L54</f>
        <v>0</v>
      </c>
      <c r="J19" s="66">
        <f>'Project setup'!M54</f>
        <v>0</v>
      </c>
      <c r="K19" s="66">
        <f>'Project setup'!N54</f>
        <v>0</v>
      </c>
      <c r="L19" s="66">
        <f>'Project setup'!O54</f>
        <v>0</v>
      </c>
      <c r="M19" s="66">
        <f>'Project setup'!P54</f>
        <v>0</v>
      </c>
      <c r="N19" s="66">
        <f>'Project setup'!Q54</f>
        <v>0</v>
      </c>
    </row>
    <row r="20" spans="1:14" x14ac:dyDescent="0.2">
      <c r="A20" s="66" t="str">
        <f>'Project setup'!D55</f>
        <v>HYDRO_PS</v>
      </c>
      <c r="B20" s="66" t="str">
        <f>'Project setup'!E55</f>
        <v>hydro_ps_roundtrip</v>
      </c>
      <c r="C20" s="66" t="str">
        <f>'Project setup'!F55</f>
        <v>float</v>
      </c>
      <c r="D20" s="66" t="str">
        <f>'Project setup'!G55</f>
        <v>-</v>
      </c>
      <c r="E20" s="66">
        <f>'Project setup'!H55</f>
        <v>0.9</v>
      </c>
      <c r="F20" s="66">
        <f>'Project setup'!I55</f>
        <v>0.9</v>
      </c>
      <c r="G20" s="66">
        <f>'Project setup'!J55</f>
        <v>0.9</v>
      </c>
      <c r="H20" s="66">
        <f>'Project setup'!K55</f>
        <v>0.9</v>
      </c>
      <c r="I20" s="66">
        <f>'Project setup'!L55</f>
        <v>0</v>
      </c>
      <c r="J20" s="66">
        <f>'Project setup'!M55</f>
        <v>0</v>
      </c>
      <c r="K20" s="66">
        <f>'Project setup'!N55</f>
        <v>0</v>
      </c>
      <c r="L20" s="66">
        <f>'Project setup'!O55</f>
        <v>0</v>
      </c>
      <c r="M20" s="66">
        <f>'Project setup'!P55</f>
        <v>0</v>
      </c>
      <c r="N20" s="66">
        <f>'Project setup'!Q55</f>
        <v>0</v>
      </c>
    </row>
    <row r="21" spans="1:14" x14ac:dyDescent="0.2">
      <c r="A21" s="45" t="str">
        <f>'Project setup'!D56</f>
        <v>HYDRO_PS</v>
      </c>
      <c r="B21" s="45" t="str">
        <f>'Project setup'!E56</f>
        <v>hydro_ph_fuel_proj</v>
      </c>
      <c r="C21" s="45" t="str">
        <f>'Project setup'!F56</f>
        <v>str</v>
      </c>
      <c r="D21" s="45" t="str">
        <f>'Project setup'!G56</f>
        <v>-</v>
      </c>
      <c r="E21" s="66" t="str">
        <f>'Project setup'!H56</f>
        <v>ramboll</v>
      </c>
      <c r="F21" s="66" t="str">
        <f>'Project setup'!I56</f>
        <v>ramboll</v>
      </c>
      <c r="G21" s="66" t="str">
        <f>'Project setup'!J56</f>
        <v>ramboll</v>
      </c>
      <c r="H21" s="66" t="str">
        <f>'Project setup'!K56</f>
        <v>ramboll</v>
      </c>
      <c r="I21" s="66">
        <f>'Project setup'!L56</f>
        <v>0</v>
      </c>
      <c r="J21" s="66">
        <f>'Project setup'!M56</f>
        <v>0</v>
      </c>
      <c r="K21" s="66">
        <f>'Project setup'!N56</f>
        <v>0</v>
      </c>
      <c r="L21" s="66">
        <f>'Project setup'!O56</f>
        <v>0</v>
      </c>
      <c r="M21" s="66">
        <f>'Project setup'!P56</f>
        <v>0</v>
      </c>
      <c r="N21" s="66">
        <f>'Project setup'!Q56</f>
        <v>0</v>
      </c>
    </row>
    <row r="22" spans="1:14" x14ac:dyDescent="0.2">
      <c r="A22" s="45" t="str">
        <f>'Project setup'!D61</f>
        <v>THERMAL</v>
      </c>
      <c r="B22" s="45" t="str">
        <f>'Project setup'!E61</f>
        <v>thermal_units_file</v>
      </c>
      <c r="C22" s="45" t="str">
        <f>'Project setup'!F61</f>
        <v>str</v>
      </c>
      <c r="D22" s="45" t="str">
        <f>'Project setup'!G61</f>
        <v>-</v>
      </c>
      <c r="E22" s="66" t="str">
        <f>'Project setup'!H61</f>
        <v>thermal_plant_units</v>
      </c>
      <c r="F22" s="66" t="str">
        <f>'Project setup'!I61</f>
        <v>thermal_plant_units</v>
      </c>
      <c r="G22" s="66" t="str">
        <f>'Project setup'!J61</f>
        <v>thermal_plant_units</v>
      </c>
      <c r="H22" s="66" t="str">
        <f>'Project setup'!K61</f>
        <v>thermal_plant_units</v>
      </c>
      <c r="I22" s="66">
        <f>'Project setup'!L61</f>
        <v>0</v>
      </c>
      <c r="J22" s="66">
        <f>'Project setup'!M61</f>
        <v>0</v>
      </c>
      <c r="K22" s="66">
        <f>'Project setup'!N61</f>
        <v>0</v>
      </c>
      <c r="L22" s="66">
        <f>'Project setup'!O61</f>
        <v>0</v>
      </c>
      <c r="M22" s="66">
        <f>'Project setup'!P61</f>
        <v>0</v>
      </c>
      <c r="N22" s="66">
        <f>'Project setup'!Q61</f>
        <v>0</v>
      </c>
    </row>
    <row r="23" spans="1:14" x14ac:dyDescent="0.2">
      <c r="A23" s="45" t="str">
        <f>'Project setup'!D62</f>
        <v>THERMAL</v>
      </c>
      <c r="B23" s="45" t="str">
        <f>'Project setup'!E62</f>
        <v>thermal_fuel_proj</v>
      </c>
      <c r="C23" s="45" t="str">
        <f>'Project setup'!F62</f>
        <v>str</v>
      </c>
      <c r="D23" s="45" t="str">
        <f>'Project setup'!G62</f>
        <v>-</v>
      </c>
      <c r="E23" s="66" t="str">
        <f>'Project setup'!H62</f>
        <v>ramboll</v>
      </c>
      <c r="F23" s="66" t="str">
        <f>'Project setup'!I62</f>
        <v>ramboll</v>
      </c>
      <c r="G23" s="66" t="str">
        <f>'Project setup'!J62</f>
        <v>ramboll</v>
      </c>
      <c r="H23" s="66" t="str">
        <f>'Project setup'!K62</f>
        <v>ramboll</v>
      </c>
      <c r="I23" s="66">
        <f>'Project setup'!L62</f>
        <v>0</v>
      </c>
      <c r="J23" s="66">
        <f>'Project setup'!M62</f>
        <v>0</v>
      </c>
      <c r="K23" s="66">
        <f>'Project setup'!N62</f>
        <v>0</v>
      </c>
      <c r="L23" s="66">
        <f>'Project setup'!O62</f>
        <v>0</v>
      </c>
      <c r="M23" s="66">
        <f>'Project setup'!P62</f>
        <v>0</v>
      </c>
      <c r="N23" s="66">
        <f>'Project setup'!Q62</f>
        <v>0</v>
      </c>
    </row>
    <row r="24" spans="1:14" x14ac:dyDescent="0.2">
      <c r="A24" s="45" t="str">
        <f>'Project setup'!D67</f>
        <v>LINES</v>
      </c>
      <c r="B24" s="45" t="str">
        <f>'Project setup'!E67</f>
        <v>line_cap_file</v>
      </c>
      <c r="C24" s="45" t="str">
        <f>'Project setup'!F67</f>
        <v>str</v>
      </c>
      <c r="D24" s="45" t="str">
        <f>'Project setup'!G67</f>
        <v>-</v>
      </c>
      <c r="E24" s="66" t="str">
        <f>'Project setup'!H67</f>
        <v>entsoe</v>
      </c>
      <c r="F24" s="66" t="str">
        <f>'Project setup'!I67</f>
        <v>entsoe</v>
      </c>
      <c r="G24" s="66" t="str">
        <f>'Project setup'!J67</f>
        <v>entsoe</v>
      </c>
      <c r="H24" s="66" t="str">
        <f>'Project setup'!K67</f>
        <v>entsoe</v>
      </c>
      <c r="I24" s="66">
        <f>'Project setup'!L67</f>
        <v>0</v>
      </c>
      <c r="J24" s="66">
        <f>'Project setup'!M67</f>
        <v>0</v>
      </c>
      <c r="K24" s="66">
        <f>'Project setup'!N67</f>
        <v>0</v>
      </c>
      <c r="L24" s="66">
        <f>'Project setup'!O67</f>
        <v>0</v>
      </c>
      <c r="M24" s="66">
        <f>'Project setup'!P67</f>
        <v>0</v>
      </c>
      <c r="N24" s="66">
        <f>'Project setup'!Q67</f>
        <v>0</v>
      </c>
    </row>
    <row r="25" spans="1:14" x14ac:dyDescent="0.2">
      <c r="A25" s="45" t="str">
        <f>'Project setup'!D74</f>
        <v>DEMAND_INF_CLA</v>
      </c>
      <c r="B25" s="45" t="str">
        <f>'Project setup'!E74</f>
        <v>demand_inf_cla_py</v>
      </c>
      <c r="C25" s="45" t="str">
        <f>'Project setup'!F74</f>
        <v>int</v>
      </c>
      <c r="D25" s="45" t="str">
        <f>'Project setup'!G74</f>
        <v>Year</v>
      </c>
      <c r="E25" s="66">
        <f>'Project setup'!H74</f>
        <v>2020</v>
      </c>
      <c r="F25" s="66">
        <f>'Project setup'!I74</f>
        <v>2020</v>
      </c>
      <c r="G25" s="66">
        <f>'Project setup'!J74</f>
        <v>2020</v>
      </c>
      <c r="H25" s="66" t="str">
        <f>'Project setup'!K74</f>
        <v>2020</v>
      </c>
      <c r="I25" s="66">
        <f>'Project setup'!L74</f>
        <v>0</v>
      </c>
      <c r="J25" s="66">
        <f>'Project setup'!M74</f>
        <v>0</v>
      </c>
      <c r="K25" s="66">
        <f>'Project setup'!N74</f>
        <v>0</v>
      </c>
      <c r="L25" s="66">
        <f>'Project setup'!O74</f>
        <v>0</v>
      </c>
      <c r="M25" s="66">
        <f>'Project setup'!P74</f>
        <v>0</v>
      </c>
      <c r="N25" s="66">
        <f>'Project setup'!Q74</f>
        <v>0</v>
      </c>
    </row>
    <row r="26" spans="1:14" x14ac:dyDescent="0.2">
      <c r="A26" s="45" t="str">
        <f>'Project setup'!D75</f>
        <v>DEMAND_INF_CLA</v>
      </c>
      <c r="B26" s="45" t="str">
        <f>'Project setup'!E75</f>
        <v>demand_inf_cla_amount_file</v>
      </c>
      <c r="C26" s="45" t="str">
        <f>'Project setup'!F75</f>
        <v>str</v>
      </c>
      <c r="D26" s="45" t="str">
        <f>'Project setup'!G75</f>
        <v>-</v>
      </c>
      <c r="E26" s="66" t="str">
        <f>'Project setup'!H75</f>
        <v>TYNDP_2024_National_Trends</v>
      </c>
      <c r="F26" s="66" t="str">
        <f>'Project setup'!I75</f>
        <v>TYNDP_2024_National_Trends</v>
      </c>
      <c r="G26" s="66" t="str">
        <f>'Project setup'!J75</f>
        <v>TYNDP_2024_National_Trends</v>
      </c>
      <c r="H26" s="66" t="str">
        <f>'Project setup'!K75</f>
        <v>TYNDP_2024_National_Trends</v>
      </c>
      <c r="I26" s="66">
        <f>'Project setup'!L75</f>
        <v>0</v>
      </c>
      <c r="J26" s="66">
        <f>'Project setup'!M75</f>
        <v>0</v>
      </c>
      <c r="K26" s="66">
        <f>'Project setup'!N75</f>
        <v>0</v>
      </c>
      <c r="L26" s="66">
        <f>'Project setup'!O75</f>
        <v>0</v>
      </c>
      <c r="M26" s="66">
        <f>'Project setup'!P75</f>
        <v>0</v>
      </c>
      <c r="N26" s="66">
        <f>'Project setup'!Q75</f>
        <v>0</v>
      </c>
    </row>
    <row r="27" spans="1:14" x14ac:dyDescent="0.2">
      <c r="A27" s="45" t="str">
        <f>'Project setup'!D76</f>
        <v>DEMAND_INF_CLA</v>
      </c>
      <c r="B27" s="45" t="str">
        <f>'Project setup'!E76</f>
        <v>demand_inf_cla_voll</v>
      </c>
      <c r="C27" s="45" t="str">
        <f>'Project setup'!F76</f>
        <v>float</v>
      </c>
      <c r="D27" s="45" t="str">
        <f>'Project setup'!G76</f>
        <v>EUR/MWh</v>
      </c>
      <c r="E27" s="66">
        <f>'Project setup'!H76</f>
        <v>5000</v>
      </c>
      <c r="F27" s="66">
        <f>'Project setup'!I76</f>
        <v>5000</v>
      </c>
      <c r="G27" s="66">
        <f>'Project setup'!J76</f>
        <v>5000</v>
      </c>
      <c r="H27" s="66">
        <f>'Project setup'!K76</f>
        <v>5000</v>
      </c>
      <c r="I27" s="66">
        <f>'Project setup'!L76</f>
        <v>0</v>
      </c>
      <c r="J27" s="66">
        <f>'Project setup'!M76</f>
        <v>0</v>
      </c>
      <c r="K27" s="66">
        <f>'Project setup'!N76</f>
        <v>0</v>
      </c>
      <c r="L27" s="66">
        <f>'Project setup'!O76</f>
        <v>0</v>
      </c>
      <c r="M27" s="66">
        <f>'Project setup'!P76</f>
        <v>0</v>
      </c>
      <c r="N27" s="66">
        <f>'Project setup'!Q76</f>
        <v>0</v>
      </c>
    </row>
    <row r="28" spans="1:14" x14ac:dyDescent="0.2">
      <c r="A28" s="45" t="str">
        <f>'Project setup'!D81</f>
        <v>DEMAND_INF_IND</v>
      </c>
      <c r="B28" s="45" t="str">
        <f>'Project setup'!E81</f>
        <v>demand_inf_ind_py</v>
      </c>
      <c r="C28" s="45" t="str">
        <f>'Project setup'!F81</f>
        <v>int</v>
      </c>
      <c r="D28" s="45" t="str">
        <f>'Project setup'!G81</f>
        <v>Year</v>
      </c>
      <c r="E28" s="66">
        <f>'Project setup'!H81</f>
        <v>2020</v>
      </c>
      <c r="F28" s="66">
        <f>'Project setup'!I81</f>
        <v>2020</v>
      </c>
      <c r="G28" s="66" t="str">
        <f>'Project setup'!J81</f>
        <v>2020</v>
      </c>
      <c r="H28" s="66" t="str">
        <f>'Project setup'!K81</f>
        <v>2020</v>
      </c>
      <c r="I28" s="66">
        <f>'Project setup'!L81</f>
        <v>0</v>
      </c>
      <c r="J28" s="66">
        <f>'Project setup'!M81</f>
        <v>0</v>
      </c>
      <c r="K28" s="66">
        <f>'Project setup'!N81</f>
        <v>0</v>
      </c>
      <c r="L28" s="66">
        <f>'Project setup'!O81</f>
        <v>0</v>
      </c>
      <c r="M28" s="66">
        <f>'Project setup'!P81</f>
        <v>0</v>
      </c>
      <c r="N28" s="66">
        <f>'Project setup'!Q81</f>
        <v>0</v>
      </c>
    </row>
    <row r="29" spans="1:14" x14ac:dyDescent="0.2">
      <c r="A29" s="45" t="str">
        <f>'Project setup'!D82</f>
        <v>DEMAND_INF_IND</v>
      </c>
      <c r="B29" s="45" t="str">
        <f>'Project setup'!E82</f>
        <v>demand_inf_ind_amount_file</v>
      </c>
      <c r="C29" s="45" t="str">
        <f>'Project setup'!F82</f>
        <v>str</v>
      </c>
      <c r="D29" s="45" t="str">
        <f>'Project setup'!G82</f>
        <v>-</v>
      </c>
      <c r="E29" s="66" t="str">
        <f>'Project setup'!H82</f>
        <v>TYNDP_2024_National_Trends</v>
      </c>
      <c r="F29" s="66" t="str">
        <f>'Project setup'!I82</f>
        <v>TYNDP_2024_National_Trends</v>
      </c>
      <c r="G29" s="66" t="str">
        <f>'Project setup'!J82</f>
        <v>TYNDP_2024_National_Trends</v>
      </c>
      <c r="H29" s="66" t="str">
        <f>'Project setup'!K82</f>
        <v>TYNDP_2024_National_Trends</v>
      </c>
      <c r="I29" s="66">
        <f>'Project setup'!L82</f>
        <v>0</v>
      </c>
      <c r="J29" s="66">
        <f>'Project setup'!M82</f>
        <v>0</v>
      </c>
      <c r="K29" s="66">
        <f>'Project setup'!N82</f>
        <v>0</v>
      </c>
      <c r="L29" s="66">
        <f>'Project setup'!O82</f>
        <v>0</v>
      </c>
      <c r="M29" s="66">
        <f>'Project setup'!P82</f>
        <v>0</v>
      </c>
      <c r="N29" s="66">
        <f>'Project setup'!Q82</f>
        <v>0</v>
      </c>
    </row>
    <row r="30" spans="1:14" x14ac:dyDescent="0.2">
      <c r="A30" s="45" t="str">
        <f>'Project setup'!D83</f>
        <v>DEMAND_INF_IND</v>
      </c>
      <c r="B30" s="45" t="str">
        <f>'Project setup'!E83</f>
        <v>demand_inf_ind_voll</v>
      </c>
      <c r="C30" s="45" t="str">
        <f>'Project setup'!F83</f>
        <v>float</v>
      </c>
      <c r="D30" s="45" t="str">
        <f>'Project setup'!G83</f>
        <v>EUR/MWh</v>
      </c>
      <c r="E30" s="66">
        <f>'Project setup'!H83</f>
        <v>5001</v>
      </c>
      <c r="F30" s="66">
        <f>'Project setup'!I83</f>
        <v>5001</v>
      </c>
      <c r="G30" s="66">
        <f>'Project setup'!J83</f>
        <v>5001</v>
      </c>
      <c r="H30" s="66">
        <f>'Project setup'!K83</f>
        <v>5001</v>
      </c>
      <c r="I30" s="66">
        <f>'Project setup'!L83</f>
        <v>0</v>
      </c>
      <c r="J30" s="66">
        <f>'Project setup'!M83</f>
        <v>0</v>
      </c>
      <c r="K30" s="66">
        <f>'Project setup'!N83</f>
        <v>0</v>
      </c>
      <c r="L30" s="66">
        <f>'Project setup'!O83</f>
        <v>0</v>
      </c>
      <c r="M30" s="66">
        <f>'Project setup'!P83</f>
        <v>0</v>
      </c>
      <c r="N30" s="66">
        <f>'Project setup'!Q83</f>
        <v>0</v>
      </c>
    </row>
    <row r="31" spans="1:14" x14ac:dyDescent="0.2">
      <c r="A31" s="45" t="str">
        <f>'Project setup'!D88</f>
        <v>DEMAND_INF_HOU</v>
      </c>
      <c r="B31" s="45" t="str">
        <f>'Project setup'!E88</f>
        <v>demand_inf_hou_py</v>
      </c>
      <c r="C31" s="45" t="str">
        <f>'Project setup'!F88</f>
        <v>int</v>
      </c>
      <c r="D31" s="45" t="str">
        <f>'Project setup'!G88</f>
        <v>Year</v>
      </c>
      <c r="E31" s="66">
        <f>'Project setup'!H88</f>
        <v>2020</v>
      </c>
      <c r="F31" s="66" t="str">
        <f>'Project setup'!I88</f>
        <v>2020</v>
      </c>
      <c r="G31" s="66" t="str">
        <f>'Project setup'!J88</f>
        <v>2020</v>
      </c>
      <c r="H31" s="66" t="str">
        <f>'Project setup'!K88</f>
        <v>2020</v>
      </c>
      <c r="I31" s="66">
        <f>'Project setup'!L88</f>
        <v>0</v>
      </c>
      <c r="J31" s="66">
        <f>'Project setup'!M88</f>
        <v>0</v>
      </c>
      <c r="K31" s="66">
        <f>'Project setup'!N88</f>
        <v>0</v>
      </c>
      <c r="L31" s="66">
        <f>'Project setup'!O88</f>
        <v>0</v>
      </c>
      <c r="M31" s="66">
        <f>'Project setup'!P88</f>
        <v>0</v>
      </c>
      <c r="N31" s="66">
        <f>'Project setup'!Q88</f>
        <v>0</v>
      </c>
    </row>
    <row r="32" spans="1:14" x14ac:dyDescent="0.2">
      <c r="A32" s="45" t="str">
        <f>'Project setup'!D89</f>
        <v>DEMAND_INF_HOU</v>
      </c>
      <c r="B32" s="45" t="str">
        <f>'Project setup'!E89</f>
        <v>demand_inf_hou_amount_file</v>
      </c>
      <c r="C32" s="45" t="str">
        <f>'Project setup'!F89</f>
        <v>str</v>
      </c>
      <c r="D32" s="45" t="str">
        <f>'Project setup'!G89</f>
        <v>-</v>
      </c>
      <c r="E32" s="66" t="str">
        <f>'Project setup'!H89</f>
        <v>TYNDP_2024_National_Trends</v>
      </c>
      <c r="F32" s="66" t="str">
        <f>'Project setup'!I89</f>
        <v>TYNDP_2024_National_Trends</v>
      </c>
      <c r="G32" s="66" t="str">
        <f>'Project setup'!J89</f>
        <v>TYNDP_2024_National_Trends</v>
      </c>
      <c r="H32" s="66" t="str">
        <f>'Project setup'!K89</f>
        <v>TYNDP_2024_National_Trends</v>
      </c>
      <c r="I32" s="66">
        <f>'Project setup'!L89</f>
        <v>0</v>
      </c>
      <c r="J32" s="66">
        <f>'Project setup'!M89</f>
        <v>0</v>
      </c>
      <c r="K32" s="66">
        <f>'Project setup'!N89</f>
        <v>0</v>
      </c>
      <c r="L32" s="66">
        <f>'Project setup'!O89</f>
        <v>0</v>
      </c>
      <c r="M32" s="66">
        <f>'Project setup'!P89</f>
        <v>0</v>
      </c>
      <c r="N32" s="66">
        <f>'Project setup'!Q89</f>
        <v>0</v>
      </c>
    </row>
    <row r="33" spans="1:14" x14ac:dyDescent="0.2">
      <c r="A33" s="45" t="str">
        <f>'Project setup'!D90</f>
        <v>DEMAND_INF_HOU</v>
      </c>
      <c r="B33" s="45" t="str">
        <f>'Project setup'!E90</f>
        <v>demand_inf_hou_voll</v>
      </c>
      <c r="C33" s="45" t="str">
        <f>'Project setup'!F90</f>
        <v>float</v>
      </c>
      <c r="D33" s="45" t="str">
        <f>'Project setup'!G90</f>
        <v>EUR/MWh</v>
      </c>
      <c r="E33" s="66">
        <f>'Project setup'!H90</f>
        <v>5002</v>
      </c>
      <c r="F33" s="66">
        <f>'Project setup'!I90</f>
        <v>5002</v>
      </c>
      <c r="G33" s="66">
        <f>'Project setup'!J90</f>
        <v>5002</v>
      </c>
      <c r="H33" s="66">
        <f>'Project setup'!K90</f>
        <v>5002</v>
      </c>
      <c r="I33" s="66">
        <f>'Project setup'!L90</f>
        <v>0</v>
      </c>
      <c r="J33" s="66">
        <f>'Project setup'!M90</f>
        <v>0</v>
      </c>
      <c r="K33" s="66">
        <f>'Project setup'!N90</f>
        <v>0</v>
      </c>
      <c r="L33" s="66">
        <f>'Project setup'!O90</f>
        <v>0</v>
      </c>
      <c r="M33" s="66">
        <f>'Project setup'!P90</f>
        <v>0</v>
      </c>
      <c r="N33" s="66">
        <f>'Project setup'!Q90</f>
        <v>0</v>
      </c>
    </row>
    <row r="34" spans="1:14" x14ac:dyDescent="0.2">
      <c r="A34" s="45" t="str">
        <f>'Project setup'!D95</f>
        <v>DEMAND_INF_PUB</v>
      </c>
      <c r="B34" s="45" t="str">
        <f>'Project setup'!E95</f>
        <v>demand_inf_pub_py</v>
      </c>
      <c r="C34" s="45" t="str">
        <f>'Project setup'!F95</f>
        <v>int</v>
      </c>
      <c r="D34" s="45" t="str">
        <f>'Project setup'!G95</f>
        <v>Year</v>
      </c>
      <c r="E34" s="66">
        <f>'Project setup'!H95</f>
        <v>2020</v>
      </c>
      <c r="F34" s="66">
        <f>'Project setup'!I95</f>
        <v>2020</v>
      </c>
      <c r="G34" s="66">
        <f>'Project setup'!J95</f>
        <v>2020</v>
      </c>
      <c r="H34" s="66">
        <f>'Project setup'!K95</f>
        <v>2020</v>
      </c>
      <c r="I34" s="66">
        <f>'Project setup'!L95</f>
        <v>0</v>
      </c>
      <c r="J34" s="66">
        <f>'Project setup'!M95</f>
        <v>0</v>
      </c>
      <c r="K34" s="66">
        <f>'Project setup'!N95</f>
        <v>0</v>
      </c>
      <c r="L34" s="66">
        <f>'Project setup'!O95</f>
        <v>0</v>
      </c>
      <c r="M34" s="66">
        <f>'Project setup'!P95</f>
        <v>0</v>
      </c>
      <c r="N34" s="66">
        <f>'Project setup'!Q95</f>
        <v>0</v>
      </c>
    </row>
    <row r="35" spans="1:14" x14ac:dyDescent="0.2">
      <c r="A35" s="45" t="str">
        <f>'Project setup'!D96</f>
        <v>DEMAND_INF_PUB</v>
      </c>
      <c r="B35" s="45" t="str">
        <f>'Project setup'!E96</f>
        <v>demand_inf_pub_amount_file</v>
      </c>
      <c r="C35" s="45" t="str">
        <f>'Project setup'!F96</f>
        <v>str</v>
      </c>
      <c r="D35" s="45" t="str">
        <f>'Project setup'!G96</f>
        <v>-</v>
      </c>
      <c r="E35" s="66" t="str">
        <f>'Project setup'!H96</f>
        <v>TYNDP_2024_National_Trends</v>
      </c>
      <c r="F35" s="66" t="str">
        <f>'Project setup'!I96</f>
        <v>TYNDP_2024_National_Trends</v>
      </c>
      <c r="G35" s="66" t="str">
        <f>'Project setup'!J96</f>
        <v>TYNDP_2024_National_Trends</v>
      </c>
      <c r="H35" s="66" t="str">
        <f>'Project setup'!K96</f>
        <v>TYNDP_2024_National_Trends</v>
      </c>
      <c r="I35" s="66">
        <f>'Project setup'!L96</f>
        <v>0</v>
      </c>
      <c r="J35" s="66">
        <f>'Project setup'!M96</f>
        <v>0</v>
      </c>
      <c r="K35" s="66">
        <f>'Project setup'!N96</f>
        <v>0</v>
      </c>
      <c r="L35" s="66">
        <f>'Project setup'!O96</f>
        <v>0</v>
      </c>
      <c r="M35" s="66">
        <f>'Project setup'!P96</f>
        <v>0</v>
      </c>
      <c r="N35" s="66">
        <f>'Project setup'!Q96</f>
        <v>0</v>
      </c>
    </row>
    <row r="36" spans="1:14" x14ac:dyDescent="0.2">
      <c r="A36" s="45" t="str">
        <f>'Project setup'!D97</f>
        <v>DEMAND_INF_PUB</v>
      </c>
      <c r="B36" s="45" t="str">
        <f>'Project setup'!E97</f>
        <v>demand_inf_pub_voll</v>
      </c>
      <c r="C36" s="45" t="str">
        <f>'Project setup'!F97</f>
        <v>float</v>
      </c>
      <c r="D36" s="45" t="str">
        <f>'Project setup'!G97</f>
        <v>EUR/MWh</v>
      </c>
      <c r="E36" s="66">
        <f>'Project setup'!H97</f>
        <v>5003</v>
      </c>
      <c r="F36" s="66">
        <f>'Project setup'!I97</f>
        <v>5003</v>
      </c>
      <c r="G36" s="66">
        <f>'Project setup'!J97</f>
        <v>5003</v>
      </c>
      <c r="H36" s="66">
        <f>'Project setup'!K97</f>
        <v>5003</v>
      </c>
      <c r="I36" s="66">
        <f>'Project setup'!L97</f>
        <v>0</v>
      </c>
      <c r="J36" s="66">
        <f>'Project setup'!M97</f>
        <v>0</v>
      </c>
      <c r="K36" s="66">
        <f>'Project setup'!N97</f>
        <v>0</v>
      </c>
      <c r="L36" s="66">
        <f>'Project setup'!O97</f>
        <v>0</v>
      </c>
      <c r="M36" s="66">
        <f>'Project setup'!P97</f>
        <v>0</v>
      </c>
      <c r="N36" s="66">
        <f>'Project setup'!Q97</f>
        <v>0</v>
      </c>
    </row>
    <row r="37" spans="1:14" x14ac:dyDescent="0.2">
      <c r="A37" s="45" t="str">
        <f>'Project setup'!D102</f>
        <v>DEMAND_INF_EV</v>
      </c>
      <c r="B37" s="45" t="str">
        <f>'Project setup'!E102</f>
        <v>demand_inf_ev_py</v>
      </c>
      <c r="C37" s="45" t="str">
        <f>'Project setup'!F102</f>
        <v>int</v>
      </c>
      <c r="D37" s="45" t="str">
        <f>'Project setup'!G102</f>
        <v>Year</v>
      </c>
      <c r="E37" s="66">
        <f>'Project setup'!H102</f>
        <v>2020</v>
      </c>
      <c r="F37" s="66">
        <f>'Project setup'!I102</f>
        <v>2020</v>
      </c>
      <c r="G37" s="66">
        <f>'Project setup'!J102</f>
        <v>2020</v>
      </c>
      <c r="H37" s="66">
        <f>'Project setup'!K102</f>
        <v>2020</v>
      </c>
      <c r="I37" s="66">
        <f>'Project setup'!L102</f>
        <v>0</v>
      </c>
      <c r="J37" s="66">
        <f>'Project setup'!M102</f>
        <v>0</v>
      </c>
      <c r="K37" s="66">
        <f>'Project setup'!N102</f>
        <v>0</v>
      </c>
      <c r="L37" s="66">
        <f>'Project setup'!O102</f>
        <v>0</v>
      </c>
      <c r="M37" s="66">
        <f>'Project setup'!P102</f>
        <v>0</v>
      </c>
      <c r="N37" s="66">
        <f>'Project setup'!Q102</f>
        <v>0</v>
      </c>
    </row>
    <row r="38" spans="1:14" x14ac:dyDescent="0.2">
      <c r="A38" s="45" t="str">
        <f>'Project setup'!D103</f>
        <v>DEMAND_INF_EV</v>
      </c>
      <c r="B38" s="45" t="str">
        <f>'Project setup'!E103</f>
        <v>demand_inf_ev_amount_file</v>
      </c>
      <c r="C38" s="45" t="str">
        <f>'Project setup'!F103</f>
        <v>str</v>
      </c>
      <c r="D38" s="45" t="str">
        <f>'Project setup'!G103</f>
        <v>-</v>
      </c>
      <c r="E38" s="66" t="str">
        <f>'Project setup'!H103</f>
        <v>TYNDP_2024_National_Trends</v>
      </c>
      <c r="F38" s="66" t="str">
        <f>'Project setup'!I103</f>
        <v>TYNDP_2024_National_Trends</v>
      </c>
      <c r="G38" s="66" t="str">
        <f>'Project setup'!J103</f>
        <v>TYNDP_2024_National_Trends</v>
      </c>
      <c r="H38" s="66" t="str">
        <f>'Project setup'!K103</f>
        <v>TYNDP_2024_National_Trends</v>
      </c>
      <c r="I38" s="66">
        <f>'Project setup'!L103</f>
        <v>0</v>
      </c>
      <c r="J38" s="66">
        <f>'Project setup'!M103</f>
        <v>0</v>
      </c>
      <c r="K38" s="66">
        <f>'Project setup'!N103</f>
        <v>0</v>
      </c>
      <c r="L38" s="66">
        <f>'Project setup'!O103</f>
        <v>0</v>
      </c>
      <c r="M38" s="66">
        <f>'Project setup'!P103</f>
        <v>0</v>
      </c>
      <c r="N38" s="66">
        <f>'Project setup'!Q103</f>
        <v>0</v>
      </c>
    </row>
    <row r="39" spans="1:14" x14ac:dyDescent="0.2">
      <c r="A39" s="45" t="str">
        <f>'Project setup'!D104</f>
        <v>DEMAND_INF_EV</v>
      </c>
      <c r="B39" s="45" t="str">
        <f>'Project setup'!E104</f>
        <v>demand_inf_ev_voll</v>
      </c>
      <c r="C39" s="45" t="str">
        <f>'Project setup'!F104</f>
        <v>float</v>
      </c>
      <c r="D39" s="45" t="str">
        <f>'Project setup'!G104</f>
        <v>EUR/MWh</v>
      </c>
      <c r="E39" s="66">
        <f>'Project setup'!H104</f>
        <v>5004</v>
      </c>
      <c r="F39" s="66">
        <f>'Project setup'!I104</f>
        <v>5004</v>
      </c>
      <c r="G39" s="66">
        <f>'Project setup'!J104</f>
        <v>5004</v>
      </c>
      <c r="H39" s="66">
        <f>'Project setup'!K104</f>
        <v>5004</v>
      </c>
      <c r="I39" s="66">
        <f>'Project setup'!L104</f>
        <v>0</v>
      </c>
      <c r="J39" s="66">
        <f>'Project setup'!M104</f>
        <v>0</v>
      </c>
      <c r="K39" s="66">
        <f>'Project setup'!N104</f>
        <v>0</v>
      </c>
      <c r="L39" s="66">
        <f>'Project setup'!O104</f>
        <v>0</v>
      </c>
      <c r="M39" s="66">
        <f>'Project setup'!P104</f>
        <v>0</v>
      </c>
      <c r="N39" s="66">
        <f>'Project setup'!Q104</f>
        <v>0</v>
      </c>
    </row>
    <row r="40" spans="1:14" x14ac:dyDescent="0.2">
      <c r="A40" s="45" t="str">
        <f>'Project setup'!D111</f>
        <v>DEMAND_FLEX_CLA</v>
      </c>
      <c r="B40" s="45" t="str">
        <f>'Project setup'!E111</f>
        <v>demand_flex_cla_amount_file</v>
      </c>
      <c r="C40" s="45" t="str">
        <f>'Project setup'!F111</f>
        <v>str</v>
      </c>
      <c r="D40" s="45" t="str">
        <f>'Project setup'!G111</f>
        <v>-</v>
      </c>
      <c r="E40" s="66" t="str">
        <f>'Project setup'!H111</f>
        <v>TYNDP_2024_National_Trends</v>
      </c>
      <c r="F40" s="66" t="str">
        <f>'Project setup'!I111</f>
        <v>TYNDP_2024_National_Trends</v>
      </c>
      <c r="G40" s="66" t="str">
        <f>'Project setup'!J111</f>
        <v>TYNDP_2024_National_Trends</v>
      </c>
      <c r="H40" s="66" t="str">
        <f>'Project setup'!K111</f>
        <v>TYNDP_2024_National_Trends</v>
      </c>
      <c r="I40" s="66">
        <f>'Project setup'!L111</f>
        <v>0</v>
      </c>
      <c r="J40" s="66">
        <f>'Project setup'!M111</f>
        <v>0</v>
      </c>
      <c r="K40" s="66">
        <f>'Project setup'!N111</f>
        <v>0</v>
      </c>
      <c r="L40" s="66">
        <f>'Project setup'!O111</f>
        <v>0</v>
      </c>
      <c r="M40" s="66">
        <f>'Project setup'!P111</f>
        <v>0</v>
      </c>
      <c r="N40" s="66">
        <f>'Project setup'!Q111</f>
        <v>0</v>
      </c>
    </row>
    <row r="41" spans="1:14" x14ac:dyDescent="0.2">
      <c r="A41" s="45" t="str">
        <f>'Project setup'!D112</f>
        <v>DEMAND_FLEX_CLA</v>
      </c>
      <c r="B41" s="45" t="str">
        <f>'Project setup'!E112</f>
        <v>demand_flex_cla_cap_file</v>
      </c>
      <c r="C41" s="45" t="str">
        <f>'Project setup'!F112</f>
        <v>str</v>
      </c>
      <c r="D41" s="45" t="str">
        <f>'Project setup'!G112</f>
        <v>-</v>
      </c>
      <c r="E41" s="66" t="str">
        <f>'Project setup'!H112</f>
        <v>TYNDP_2024_National_Trends</v>
      </c>
      <c r="F41" s="66" t="str">
        <f>'Project setup'!I112</f>
        <v>TYNDP_2024_National_Trends</v>
      </c>
      <c r="G41" s="66" t="str">
        <f>'Project setup'!J112</f>
        <v>TYNDP_2024_National_Trends</v>
      </c>
      <c r="H41" s="66" t="str">
        <f>'Project setup'!K112</f>
        <v>TYNDP_2024_National_Trends</v>
      </c>
      <c r="I41" s="66">
        <f>'Project setup'!L112</f>
        <v>0</v>
      </c>
      <c r="J41" s="66">
        <f>'Project setup'!M112</f>
        <v>0</v>
      </c>
      <c r="K41" s="66">
        <f>'Project setup'!N112</f>
        <v>0</v>
      </c>
      <c r="L41" s="66">
        <f>'Project setup'!O112</f>
        <v>0</v>
      </c>
      <c r="M41" s="66">
        <f>'Project setup'!P112</f>
        <v>0</v>
      </c>
      <c r="N41" s="66">
        <f>'Project setup'!Q112</f>
        <v>0</v>
      </c>
    </row>
    <row r="42" spans="1:14" x14ac:dyDescent="0.2">
      <c r="A42" s="45" t="str">
        <f>'Project setup'!D113</f>
        <v>DEMAND_FLEX_CLA</v>
      </c>
      <c r="B42" s="45" t="str">
        <f>'Project setup'!E113</f>
        <v>demand_flex_cla_wtp</v>
      </c>
      <c r="C42" s="45" t="str">
        <f>'Project setup'!F113</f>
        <v>float</v>
      </c>
      <c r="D42" s="45" t="str">
        <f>'Project setup'!G113</f>
        <v>EUR/MWh</v>
      </c>
      <c r="E42" s="66">
        <f>'Project setup'!H113</f>
        <v>100</v>
      </c>
      <c r="F42" s="66">
        <f>'Project setup'!I113</f>
        <v>100</v>
      </c>
      <c r="G42" s="66">
        <f>'Project setup'!J113</f>
        <v>100</v>
      </c>
      <c r="H42" s="66">
        <f>'Project setup'!K113</f>
        <v>100</v>
      </c>
      <c r="I42" s="66">
        <f>'Project setup'!L113</f>
        <v>0</v>
      </c>
      <c r="J42" s="66">
        <f>'Project setup'!M113</f>
        <v>0</v>
      </c>
      <c r="K42" s="66">
        <f>'Project setup'!N113</f>
        <v>0</v>
      </c>
      <c r="L42" s="66">
        <f>'Project setup'!O113</f>
        <v>0</v>
      </c>
      <c r="M42" s="66">
        <f>'Project setup'!P113</f>
        <v>0</v>
      </c>
      <c r="N42" s="66">
        <f>'Project setup'!Q113</f>
        <v>0</v>
      </c>
    </row>
    <row r="43" spans="1:14" x14ac:dyDescent="0.2">
      <c r="A43" s="45" t="str">
        <f>'Project setup'!D118</f>
        <v>DEMAND_FLEX_IND</v>
      </c>
      <c r="B43" s="45" t="str">
        <f>'Project setup'!E118</f>
        <v>demand_flex_ind_amount_file</v>
      </c>
      <c r="C43" s="45" t="str">
        <f>'Project setup'!F118</f>
        <v>str</v>
      </c>
      <c r="D43" s="45" t="str">
        <f>'Project setup'!G118</f>
        <v>-</v>
      </c>
      <c r="E43" s="66" t="str">
        <f>'Project setup'!H118</f>
        <v>TYNDP_2024_National_Trends</v>
      </c>
      <c r="F43" s="66" t="str">
        <f>'Project setup'!I118</f>
        <v>TYNDP_2024_National_Trends</v>
      </c>
      <c r="G43" s="66" t="str">
        <f>'Project setup'!J118</f>
        <v>TYNDP_2024_National_Trends</v>
      </c>
      <c r="H43" s="66" t="str">
        <f>'Project setup'!K118</f>
        <v>TYNDP_2024_National_Trends</v>
      </c>
      <c r="I43" s="66">
        <f>'Project setup'!L118</f>
        <v>0</v>
      </c>
      <c r="J43" s="66">
        <f>'Project setup'!M118</f>
        <v>0</v>
      </c>
      <c r="K43" s="66">
        <f>'Project setup'!N118</f>
        <v>0</v>
      </c>
      <c r="L43" s="66">
        <f>'Project setup'!O118</f>
        <v>0</v>
      </c>
      <c r="M43" s="66">
        <f>'Project setup'!P118</f>
        <v>0</v>
      </c>
      <c r="N43" s="66">
        <f>'Project setup'!Q118</f>
        <v>0</v>
      </c>
    </row>
    <row r="44" spans="1:14" x14ac:dyDescent="0.2">
      <c r="A44" s="45" t="str">
        <f>'Project setup'!D119</f>
        <v>DEMAND_FLEX_IND</v>
      </c>
      <c r="B44" s="45" t="str">
        <f>'Project setup'!E119</f>
        <v>demand_flex_ind_cap_file</v>
      </c>
      <c r="C44" s="45" t="str">
        <f>'Project setup'!F119</f>
        <v>str</v>
      </c>
      <c r="D44" s="45" t="str">
        <f>'Project setup'!G119</f>
        <v>-</v>
      </c>
      <c r="E44" s="66" t="str">
        <f>'Project setup'!H119</f>
        <v>TYNDP_2024_National_Trends</v>
      </c>
      <c r="F44" s="66" t="str">
        <f>'Project setup'!I119</f>
        <v>TYNDP_2024_National_Trends</v>
      </c>
      <c r="G44" s="66" t="str">
        <f>'Project setup'!J119</f>
        <v>TYNDP_2024_National_Trends</v>
      </c>
      <c r="H44" s="66" t="str">
        <f>'Project setup'!K119</f>
        <v>TYNDP_2024_National_Trends</v>
      </c>
      <c r="I44" s="66">
        <f>'Project setup'!L119</f>
        <v>0</v>
      </c>
      <c r="J44" s="66">
        <f>'Project setup'!M119</f>
        <v>0</v>
      </c>
      <c r="K44" s="66">
        <f>'Project setup'!N119</f>
        <v>0</v>
      </c>
      <c r="L44" s="66">
        <f>'Project setup'!O119</f>
        <v>0</v>
      </c>
      <c r="M44" s="66">
        <f>'Project setup'!P119</f>
        <v>0</v>
      </c>
      <c r="N44" s="66">
        <f>'Project setup'!Q119</f>
        <v>0</v>
      </c>
    </row>
    <row r="45" spans="1:14" x14ac:dyDescent="0.2">
      <c r="A45" s="45" t="str">
        <f>'Project setup'!D120</f>
        <v>DEMAND_FLEX_IND</v>
      </c>
      <c r="B45" s="45" t="str">
        <f>'Project setup'!E120</f>
        <v>demand_flex_ind_wtp</v>
      </c>
      <c r="C45" s="45" t="str">
        <f>'Project setup'!F120</f>
        <v>float</v>
      </c>
      <c r="D45" s="45" t="str">
        <f>'Project setup'!G120</f>
        <v>EUR/MWh</v>
      </c>
      <c r="E45" s="66">
        <f>'Project setup'!H120</f>
        <v>101</v>
      </c>
      <c r="F45" s="66">
        <f>'Project setup'!I120</f>
        <v>101</v>
      </c>
      <c r="G45" s="66">
        <f>'Project setup'!J120</f>
        <v>101</v>
      </c>
      <c r="H45" s="66">
        <f>'Project setup'!K120</f>
        <v>101</v>
      </c>
      <c r="I45" s="66">
        <f>'Project setup'!L120</f>
        <v>0</v>
      </c>
      <c r="J45" s="66">
        <f>'Project setup'!M120</f>
        <v>0</v>
      </c>
      <c r="K45" s="66">
        <f>'Project setup'!N120</f>
        <v>0</v>
      </c>
      <c r="L45" s="66">
        <f>'Project setup'!O120</f>
        <v>0</v>
      </c>
      <c r="M45" s="66">
        <f>'Project setup'!P120</f>
        <v>0</v>
      </c>
      <c r="N45" s="66">
        <f>'Project setup'!Q120</f>
        <v>0</v>
      </c>
    </row>
    <row r="46" spans="1:14" x14ac:dyDescent="0.2">
      <c r="A46" s="45" t="str">
        <f>'Project setup'!D125</f>
        <v>DEMAND_FLEX_HOU</v>
      </c>
      <c r="B46" s="45" t="str">
        <f>'Project setup'!E125</f>
        <v>demand_flex_hou_amount_file</v>
      </c>
      <c r="C46" s="45" t="str">
        <f>'Project setup'!F125</f>
        <v>str</v>
      </c>
      <c r="D46" s="45" t="str">
        <f>'Project setup'!G125</f>
        <v>-</v>
      </c>
      <c r="E46" s="66" t="str">
        <f>'Project setup'!H125</f>
        <v>TYNDP_2024_National_Trends</v>
      </c>
      <c r="F46" s="66" t="str">
        <f>'Project setup'!I125</f>
        <v>TYNDP_2024_National_Trends</v>
      </c>
      <c r="G46" s="66" t="str">
        <f>'Project setup'!J125</f>
        <v>TYNDP_2024_National_Trends</v>
      </c>
      <c r="H46" s="66" t="str">
        <f>'Project setup'!K125</f>
        <v>TYNDP_2024_National_Trends</v>
      </c>
      <c r="I46" s="66">
        <f>'Project setup'!L125</f>
        <v>0</v>
      </c>
      <c r="J46" s="66">
        <f>'Project setup'!M125</f>
        <v>0</v>
      </c>
      <c r="K46" s="66">
        <f>'Project setup'!N125</f>
        <v>0</v>
      </c>
      <c r="L46" s="66">
        <f>'Project setup'!O125</f>
        <v>0</v>
      </c>
      <c r="M46" s="66">
        <f>'Project setup'!P125</f>
        <v>0</v>
      </c>
      <c r="N46" s="66">
        <f>'Project setup'!Q125</f>
        <v>0</v>
      </c>
    </row>
    <row r="47" spans="1:14" x14ac:dyDescent="0.2">
      <c r="A47" s="45" t="str">
        <f>'Project setup'!D126</f>
        <v>DEMAND_FLEX_HOU</v>
      </c>
      <c r="B47" s="45" t="str">
        <f>'Project setup'!E126</f>
        <v>demand_flex_hou_cap_file</v>
      </c>
      <c r="C47" s="45" t="str">
        <f>'Project setup'!F126</f>
        <v>str</v>
      </c>
      <c r="D47" s="45" t="str">
        <f>'Project setup'!G126</f>
        <v>-</v>
      </c>
      <c r="E47" s="66" t="str">
        <f>'Project setup'!H126</f>
        <v>TYNDP_2024_National_Trends</v>
      </c>
      <c r="F47" s="66" t="str">
        <f>'Project setup'!I126</f>
        <v>TYNDP_2024_National_Trends</v>
      </c>
      <c r="G47" s="66" t="str">
        <f>'Project setup'!J126</f>
        <v>TYNDP_2024_National_Trends</v>
      </c>
      <c r="H47" s="66" t="str">
        <f>'Project setup'!K126</f>
        <v>TYNDP_2024_National_Trends</v>
      </c>
      <c r="I47" s="66">
        <f>'Project setup'!L126</f>
        <v>0</v>
      </c>
      <c r="J47" s="66">
        <f>'Project setup'!M126</f>
        <v>0</v>
      </c>
      <c r="K47" s="66">
        <f>'Project setup'!N126</f>
        <v>0</v>
      </c>
      <c r="L47" s="66">
        <f>'Project setup'!O126</f>
        <v>0</v>
      </c>
      <c r="M47" s="66">
        <f>'Project setup'!P126</f>
        <v>0</v>
      </c>
      <c r="N47" s="66">
        <f>'Project setup'!Q126</f>
        <v>0</v>
      </c>
    </row>
    <row r="48" spans="1:14" x14ac:dyDescent="0.2">
      <c r="A48" s="45" t="str">
        <f>'Project setup'!D127</f>
        <v>DEMAND_FLEX_HOU</v>
      </c>
      <c r="B48" s="45" t="str">
        <f>'Project setup'!E127</f>
        <v>demand_flex_hou_wtp</v>
      </c>
      <c r="C48" s="45" t="str">
        <f>'Project setup'!F127</f>
        <v>float</v>
      </c>
      <c r="D48" s="45" t="str">
        <f>'Project setup'!G127</f>
        <v>EUR/MWh</v>
      </c>
      <c r="E48" s="66">
        <f>'Project setup'!H127</f>
        <v>102</v>
      </c>
      <c r="F48" s="66">
        <f>'Project setup'!I127</f>
        <v>102</v>
      </c>
      <c r="G48" s="66">
        <f>'Project setup'!J127</f>
        <v>102</v>
      </c>
      <c r="H48" s="66">
        <f>'Project setup'!K127</f>
        <v>102</v>
      </c>
      <c r="I48" s="66">
        <f>'Project setup'!L127</f>
        <v>0</v>
      </c>
      <c r="J48" s="66">
        <f>'Project setup'!M127</f>
        <v>0</v>
      </c>
      <c r="K48" s="66">
        <f>'Project setup'!N127</f>
        <v>0</v>
      </c>
      <c r="L48" s="66">
        <f>'Project setup'!O127</f>
        <v>0</v>
      </c>
      <c r="M48" s="66">
        <f>'Project setup'!P127</f>
        <v>0</v>
      </c>
      <c r="N48" s="66">
        <f>'Project setup'!Q127</f>
        <v>0</v>
      </c>
    </row>
    <row r="49" spans="1:14" x14ac:dyDescent="0.2">
      <c r="A49" s="45" t="str">
        <f>'Project setup'!D132</f>
        <v>DEMAND_FLEX_PUB</v>
      </c>
      <c r="B49" s="45" t="str">
        <f>'Project setup'!E132</f>
        <v>demand_flex_pub_amount_file</v>
      </c>
      <c r="C49" s="45" t="str">
        <f>'Project setup'!F132</f>
        <v>str</v>
      </c>
      <c r="D49" s="45" t="str">
        <f>'Project setup'!G132</f>
        <v>-</v>
      </c>
      <c r="E49" s="66" t="str">
        <f>'Project setup'!H132</f>
        <v>TYNDP_2024_National_Trends</v>
      </c>
      <c r="F49" s="66" t="str">
        <f>'Project setup'!I132</f>
        <v>TYNDP_2024_National_Trends</v>
      </c>
      <c r="G49" s="66" t="str">
        <f>'Project setup'!J132</f>
        <v>TYNDP_2024_National_Trends</v>
      </c>
      <c r="H49" s="66" t="str">
        <f>'Project setup'!K132</f>
        <v>TYNDP_2024_National_Trends</v>
      </c>
      <c r="I49" s="66">
        <f>'Project setup'!L132</f>
        <v>0</v>
      </c>
      <c r="J49" s="66">
        <f>'Project setup'!M132</f>
        <v>0</v>
      </c>
      <c r="K49" s="66">
        <f>'Project setup'!N132</f>
        <v>0</v>
      </c>
      <c r="L49" s="66">
        <f>'Project setup'!O132</f>
        <v>0</v>
      </c>
      <c r="M49" s="66">
        <f>'Project setup'!P132</f>
        <v>0</v>
      </c>
      <c r="N49" s="66">
        <f>'Project setup'!Q132</f>
        <v>0</v>
      </c>
    </row>
    <row r="50" spans="1:14" x14ac:dyDescent="0.2">
      <c r="A50" s="45" t="str">
        <f>'Project setup'!D133</f>
        <v>DEMAND_FLEX_PUB</v>
      </c>
      <c r="B50" s="45" t="str">
        <f>'Project setup'!E133</f>
        <v>demand_flex_pub_cap_file</v>
      </c>
      <c r="C50" s="45" t="str">
        <f>'Project setup'!F133</f>
        <v>str</v>
      </c>
      <c r="D50" s="45" t="str">
        <f>'Project setup'!G133</f>
        <v>-</v>
      </c>
      <c r="E50" s="66" t="str">
        <f>'Project setup'!H133</f>
        <v>TYNDP_2024_National_Trends</v>
      </c>
      <c r="F50" s="66" t="str">
        <f>'Project setup'!I133</f>
        <v>TYNDP_2024_National_Trends</v>
      </c>
      <c r="G50" s="66" t="str">
        <f>'Project setup'!J133</f>
        <v>TYNDP_2024_National_Trends</v>
      </c>
      <c r="H50" s="66" t="str">
        <f>'Project setup'!K133</f>
        <v>TYNDP_2024_National_Trends</v>
      </c>
      <c r="I50" s="66">
        <f>'Project setup'!L133</f>
        <v>0</v>
      </c>
      <c r="J50" s="66">
        <f>'Project setup'!M133</f>
        <v>0</v>
      </c>
      <c r="K50" s="66">
        <f>'Project setup'!N133</f>
        <v>0</v>
      </c>
      <c r="L50" s="66">
        <f>'Project setup'!O133</f>
        <v>0</v>
      </c>
      <c r="M50" s="66">
        <f>'Project setup'!P133</f>
        <v>0</v>
      </c>
      <c r="N50" s="66">
        <f>'Project setup'!Q133</f>
        <v>0</v>
      </c>
    </row>
    <row r="51" spans="1:14" x14ac:dyDescent="0.2">
      <c r="A51" s="45" t="str">
        <f>'Project setup'!D134</f>
        <v>DEMAND_FLEX_PUB</v>
      </c>
      <c r="B51" s="45" t="str">
        <f>'Project setup'!E134</f>
        <v>demand_flex_pub_wtp</v>
      </c>
      <c r="C51" s="45" t="str">
        <f>'Project setup'!F134</f>
        <v>float</v>
      </c>
      <c r="D51" s="45" t="str">
        <f>'Project setup'!G134</f>
        <v>EUR/MWh</v>
      </c>
      <c r="E51" s="66">
        <f>'Project setup'!H134</f>
        <v>103</v>
      </c>
      <c r="F51" s="66">
        <f>'Project setup'!I134</f>
        <v>103</v>
      </c>
      <c r="G51" s="66">
        <f>'Project setup'!J134</f>
        <v>103</v>
      </c>
      <c r="H51" s="66">
        <f>'Project setup'!K134</f>
        <v>103</v>
      </c>
      <c r="I51" s="66">
        <f>'Project setup'!L134</f>
        <v>0</v>
      </c>
      <c r="J51" s="66">
        <f>'Project setup'!M134</f>
        <v>0</v>
      </c>
      <c r="K51" s="66">
        <f>'Project setup'!N134</f>
        <v>0</v>
      </c>
      <c r="L51" s="66">
        <f>'Project setup'!O134</f>
        <v>0</v>
      </c>
      <c r="M51" s="66">
        <f>'Project setup'!P134</f>
        <v>0</v>
      </c>
      <c r="N51" s="66">
        <f>'Project setup'!Q134</f>
        <v>0</v>
      </c>
    </row>
    <row r="52" spans="1:14" x14ac:dyDescent="0.2">
      <c r="A52" s="45" t="str">
        <f>'Project setup'!D139</f>
        <v>DEMAND_FLEX_EV</v>
      </c>
      <c r="B52" s="45" t="str">
        <f>'Project setup'!E139</f>
        <v>demand_flex_ev_amount_file</v>
      </c>
      <c r="C52" s="45" t="str">
        <f>'Project setup'!F139</f>
        <v>str</v>
      </c>
      <c r="D52" s="45" t="str">
        <f>'Project setup'!G139</f>
        <v>-</v>
      </c>
      <c r="E52" s="66" t="str">
        <f>'Project setup'!H139</f>
        <v>TYNDP_2024_National_Trends</v>
      </c>
      <c r="F52" s="66" t="str">
        <f>'Project setup'!I139</f>
        <v>TYNDP_2024_National_Trends</v>
      </c>
      <c r="G52" s="66" t="str">
        <f>'Project setup'!J139</f>
        <v>TYNDP_2024_National_Trends</v>
      </c>
      <c r="H52" s="66" t="str">
        <f>'Project setup'!K139</f>
        <v>TYNDP_2024_National_Trends</v>
      </c>
      <c r="I52" s="66">
        <f>'Project setup'!L139</f>
        <v>0</v>
      </c>
      <c r="J52" s="66">
        <f>'Project setup'!M139</f>
        <v>0</v>
      </c>
      <c r="K52" s="66">
        <f>'Project setup'!N139</f>
        <v>0</v>
      </c>
      <c r="L52" s="66">
        <f>'Project setup'!O139</f>
        <v>0</v>
      </c>
      <c r="M52" s="66">
        <f>'Project setup'!P139</f>
        <v>0</v>
      </c>
      <c r="N52" s="66">
        <f>'Project setup'!Q139</f>
        <v>0</v>
      </c>
    </row>
    <row r="53" spans="1:14" x14ac:dyDescent="0.2">
      <c r="A53" s="45" t="str">
        <f>'Project setup'!D140</f>
        <v>DEMAND_FLEX_EV</v>
      </c>
      <c r="B53" s="45" t="str">
        <f>'Project setup'!E140</f>
        <v>demand_flex_ev_cap_file</v>
      </c>
      <c r="C53" s="45" t="str">
        <f>'Project setup'!F140</f>
        <v>str</v>
      </c>
      <c r="D53" s="45" t="str">
        <f>'Project setup'!G140</f>
        <v>-</v>
      </c>
      <c r="E53" s="66" t="str">
        <f>'Project setup'!H140</f>
        <v>TYNDP_2024_National_Trends</v>
      </c>
      <c r="F53" s="66" t="str">
        <f>'Project setup'!I140</f>
        <v>TYNDP_2024_National_Trends</v>
      </c>
      <c r="G53" s="66" t="str">
        <f>'Project setup'!J140</f>
        <v>TYNDP_2024_National_Trends</v>
      </c>
      <c r="H53" s="66" t="str">
        <f>'Project setup'!K140</f>
        <v>TYNDP_2024_National_Trends</v>
      </c>
      <c r="I53" s="66">
        <f>'Project setup'!L140</f>
        <v>0</v>
      </c>
      <c r="J53" s="66">
        <f>'Project setup'!M140</f>
        <v>0</v>
      </c>
      <c r="K53" s="66">
        <f>'Project setup'!N140</f>
        <v>0</v>
      </c>
      <c r="L53" s="66">
        <f>'Project setup'!O140</f>
        <v>0</v>
      </c>
      <c r="M53" s="66">
        <f>'Project setup'!P140</f>
        <v>0</v>
      </c>
      <c r="N53" s="66">
        <f>'Project setup'!Q140</f>
        <v>0</v>
      </c>
    </row>
    <row r="54" spans="1:14" x14ac:dyDescent="0.2">
      <c r="A54" s="45" t="str">
        <f>'Project setup'!D141</f>
        <v>DEMAND_FLEX_EV</v>
      </c>
      <c r="B54" s="45" t="str">
        <f>'Project setup'!E141</f>
        <v>demand_flex_ev_wtp</v>
      </c>
      <c r="C54" s="45" t="str">
        <f>'Project setup'!F141</f>
        <v>float</v>
      </c>
      <c r="D54" s="45" t="str">
        <f>'Project setup'!G141</f>
        <v>EUR/MWh</v>
      </c>
      <c r="E54" s="66">
        <f>'Project setup'!H141</f>
        <v>104</v>
      </c>
      <c r="F54" s="66">
        <f>'Project setup'!I141</f>
        <v>104</v>
      </c>
      <c r="G54" s="66">
        <f>'Project setup'!J141</f>
        <v>104</v>
      </c>
      <c r="H54" s="66">
        <f>'Project setup'!K141</f>
        <v>104</v>
      </c>
      <c r="I54" s="66">
        <f>'Project setup'!L141</f>
        <v>0</v>
      </c>
      <c r="J54" s="66">
        <f>'Project setup'!M141</f>
        <v>0</v>
      </c>
      <c r="K54" s="66">
        <f>'Project setup'!N141</f>
        <v>0</v>
      </c>
      <c r="L54" s="66">
        <f>'Project setup'!O141</f>
        <v>0</v>
      </c>
      <c r="M54" s="66">
        <f>'Project setup'!P141</f>
        <v>0</v>
      </c>
      <c r="N54" s="66">
        <f>'Project setup'!Q141</f>
        <v>0</v>
      </c>
    </row>
    <row r="55" spans="1:14" x14ac:dyDescent="0.2">
      <c r="A55" t="str">
        <f>'Project setup'!D146</f>
        <v>BESS</v>
      </c>
      <c r="B55" t="str">
        <f>'Project setup'!E146</f>
        <v>bess_units_file</v>
      </c>
      <c r="C55" t="str">
        <f>'Project setup'!F146</f>
        <v>str</v>
      </c>
      <c r="D55" t="str">
        <f>'Project setup'!G146</f>
        <v>-</v>
      </c>
      <c r="E55" t="str">
        <f>'Project setup'!H146</f>
        <v>bess_units</v>
      </c>
      <c r="F55" t="str">
        <f>'Project setup'!I146</f>
        <v>bess_units</v>
      </c>
      <c r="G55" t="str">
        <f>'Project setup'!J146</f>
        <v>bess_units</v>
      </c>
      <c r="H55" s="66" t="str">
        <f>'Project setup'!K146</f>
        <v>bess_units</v>
      </c>
      <c r="I55" s="66">
        <f>'Project setup'!L146</f>
        <v>0</v>
      </c>
      <c r="J55" s="66">
        <f>'Project setup'!M146</f>
        <v>0</v>
      </c>
      <c r="K55" s="66">
        <f>'Project setup'!N146</f>
        <v>0</v>
      </c>
      <c r="L55" s="66">
        <f>'Project setup'!O146</f>
        <v>0</v>
      </c>
      <c r="M55" s="66">
        <f>'Project setup'!P146</f>
        <v>0</v>
      </c>
      <c r="N55" s="66">
        <f>'Project setup'!Q146</f>
        <v>0</v>
      </c>
    </row>
    <row r="56" spans="1:14" x14ac:dyDescent="0.2">
      <c r="A56" t="str">
        <f>'Project setup'!D147</f>
        <v>BESS</v>
      </c>
      <c r="B56" t="str">
        <f>'Project setup'!E147</f>
        <v>bess_initial_soc</v>
      </c>
      <c r="C56" t="str">
        <f>'Project setup'!F147</f>
        <v>float</v>
      </c>
      <c r="D56" t="str">
        <f>'Project setup'!G147</f>
        <v>-</v>
      </c>
      <c r="E56" t="str">
        <f>'Project setup'!H147</f>
        <v>0.5</v>
      </c>
      <c r="F56" t="str">
        <f>'Project setup'!I147</f>
        <v>0.5</v>
      </c>
      <c r="G56" t="str">
        <f>'Project setup'!J147</f>
        <v>0.5</v>
      </c>
      <c r="H56" s="66" t="str">
        <f>'Project setup'!K147</f>
        <v>0.5</v>
      </c>
      <c r="I56" s="66">
        <f>'Project setup'!L147</f>
        <v>0</v>
      </c>
      <c r="J56" s="66">
        <f>'Project setup'!M147</f>
        <v>0</v>
      </c>
      <c r="K56" s="66">
        <f>'Project setup'!N147</f>
        <v>0</v>
      </c>
      <c r="L56" s="66">
        <f>'Project setup'!O147</f>
        <v>0</v>
      </c>
      <c r="M56" s="66">
        <f>'Project setup'!P147</f>
        <v>0</v>
      </c>
      <c r="N56" s="66">
        <f>'Project setup'!Q147</f>
        <v>0</v>
      </c>
    </row>
    <row r="57" spans="1:14" x14ac:dyDescent="0.2">
      <c r="A57" t="str">
        <f>'Project setup'!D148</f>
        <v>BESS</v>
      </c>
      <c r="B57" t="str">
        <f>'Project setup'!E148</f>
        <v>bess_roundtrip</v>
      </c>
      <c r="C57" t="str">
        <f>'Project setup'!F148</f>
        <v>float</v>
      </c>
      <c r="D57" t="str">
        <f>'Project setup'!G148</f>
        <v>-</v>
      </c>
      <c r="E57" t="str">
        <f>'Project setup'!H148</f>
        <v>0.85</v>
      </c>
      <c r="F57" t="str">
        <f>'Project setup'!I148</f>
        <v>0.85</v>
      </c>
      <c r="G57" t="str">
        <f>'Project setup'!J148</f>
        <v>0.85</v>
      </c>
      <c r="H57" s="66" t="str">
        <f>'Project setup'!K148</f>
        <v>0.85</v>
      </c>
      <c r="I57" s="66">
        <f>'Project setup'!L148</f>
        <v>0</v>
      </c>
      <c r="J57" s="66">
        <f>'Project setup'!M148</f>
        <v>0</v>
      </c>
      <c r="K57" s="66">
        <f>'Project setup'!N148</f>
        <v>0</v>
      </c>
      <c r="L57" s="66">
        <f>'Project setup'!O148</f>
        <v>0</v>
      </c>
      <c r="M57" s="66">
        <f>'Project setup'!P148</f>
        <v>0</v>
      </c>
      <c r="N57" s="66">
        <f>'Project setup'!Q148</f>
        <v>0</v>
      </c>
    </row>
    <row r="58" spans="1:14" x14ac:dyDescent="0.2">
      <c r="A58" t="str">
        <f>'Project setup'!D153</f>
        <v>PTX</v>
      </c>
      <c r="B58" t="str">
        <f>'Project setup'!E153</f>
        <v>ptx_units_file</v>
      </c>
      <c r="C58" t="str">
        <f>'Project setup'!F153</f>
        <v>str</v>
      </c>
      <c r="D58" t="str">
        <f>'Project setup'!G153</f>
        <v>-</v>
      </c>
      <c r="E58" t="str">
        <f>'Project setup'!H153</f>
        <v>ptx_units</v>
      </c>
      <c r="F58" t="str">
        <f>'Project setup'!I153</f>
        <v>ptx_units</v>
      </c>
      <c r="G58" t="str">
        <f>'Project setup'!J153</f>
        <v>ptx_units</v>
      </c>
      <c r="H58" s="66" t="str">
        <f>'Project setup'!K153</f>
        <v>ptx_units</v>
      </c>
      <c r="I58" s="66">
        <f>'Project setup'!L153</f>
        <v>0</v>
      </c>
      <c r="J58" s="66">
        <f>'Project setup'!M153</f>
        <v>0</v>
      </c>
      <c r="K58" s="66">
        <f>'Project setup'!N153</f>
        <v>0</v>
      </c>
      <c r="L58" s="66">
        <f>'Project setup'!O153</f>
        <v>0</v>
      </c>
      <c r="M58" s="66">
        <f>'Project setup'!P153</f>
        <v>0</v>
      </c>
      <c r="N58" s="66">
        <f>'Project setup'!Q153</f>
        <v>0</v>
      </c>
    </row>
    <row r="59" spans="1:14" x14ac:dyDescent="0.2">
      <c r="A59" t="str">
        <f>'Project setup'!D158</f>
        <v>DH</v>
      </c>
      <c r="B59" t="str">
        <f>'Project setup'!E158</f>
        <v>dh_units_file</v>
      </c>
      <c r="C59" t="str">
        <f>'Project setup'!F158</f>
        <v>str</v>
      </c>
      <c r="D59" t="str">
        <f>'Project setup'!G158</f>
        <v>-</v>
      </c>
      <c r="E59" s="89" t="str">
        <f>'Project setup'!H158</f>
        <v>district_heating_units</v>
      </c>
      <c r="F59" t="str">
        <f>'Project setup'!I158</f>
        <v>district_heating_units</v>
      </c>
      <c r="G59" t="str">
        <f>'Project setup'!J158</f>
        <v>district_heating_units</v>
      </c>
      <c r="H59" s="66" t="str">
        <f>'Project setup'!K158</f>
        <v>district_heating_units</v>
      </c>
      <c r="I59" s="66">
        <f>'Project setup'!L158</f>
        <v>0</v>
      </c>
      <c r="J59" s="66">
        <f>'Project setup'!M158</f>
        <v>0</v>
      </c>
      <c r="K59" s="66">
        <f>'Project setup'!N158</f>
        <v>0</v>
      </c>
      <c r="L59" s="66">
        <f>'Project setup'!O158</f>
        <v>0</v>
      </c>
      <c r="M59" s="66">
        <f>'Project setup'!P158</f>
        <v>0</v>
      </c>
      <c r="N59" s="66">
        <f>'Project setup'!Q158</f>
        <v>0</v>
      </c>
    </row>
  </sheetData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A4C5AC9E9FD4AA55789AA2263CBBF" ma:contentTypeVersion="10" ma:contentTypeDescription="Create a new document." ma:contentTypeScope="" ma:versionID="bb77ba916811fe5581eb8067ef57d1d2">
  <xsd:schema xmlns:xsd="http://www.w3.org/2001/XMLSchema" xmlns:xs="http://www.w3.org/2001/XMLSchema" xmlns:p="http://schemas.microsoft.com/office/2006/metadata/properties" xmlns:ns2="85852c2f-c03d-495e-8fde-49bc29bfd879" xmlns:ns3="70e3a18e-6b11-4aa0-acb4-22af9b598563" targetNamespace="http://schemas.microsoft.com/office/2006/metadata/properties" ma:root="true" ma:fieldsID="f4c6a6e0c150afdad3af4b8b0f1a1c75" ns2:_="" ns3:_="">
    <xsd:import namespace="85852c2f-c03d-495e-8fde-49bc29bfd879"/>
    <xsd:import namespace="70e3a18e-6b11-4aa0-acb4-22af9b5985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52c2f-c03d-495e-8fde-49bc29bfd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3a18e-6b11-4aa0-acb4-22af9b59856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5763C6D-0E02-4D4B-9B99-49970271A90C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85852c2f-c03d-495e-8fde-49bc29bfd879"/>
    <ds:schemaRef ds:uri="http://purl.org/dc/elements/1.1/"/>
    <ds:schemaRef ds:uri="http://schemas.microsoft.com/office/2006/metadata/properties"/>
    <ds:schemaRef ds:uri="http://schemas.microsoft.com/office/infopath/2007/PartnerControls"/>
    <ds:schemaRef ds:uri="70e3a18e-6b11-4aa0-acb4-22af9b59856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F08B551-E397-4447-9DF5-7E5A542A1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852c2f-c03d-495e-8fde-49bc29bfd879"/>
    <ds:schemaRef ds:uri="70e3a18e-6b11-4aa0-acb4-22af9b598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59D8F8-0702-4025-B445-8536CAD5732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1A48EB6-33CC-4AA0-903E-8F4615D272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Project setup</vt:lpstr>
      <vt:lpstr>Python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Klaus Fafner</dc:creator>
  <cp:keywords/>
  <dc:description/>
  <cp:lastModifiedBy>Viktor Guldborg Johnsen</cp:lastModifiedBy>
  <cp:revision/>
  <dcterms:created xsi:type="dcterms:W3CDTF">2020-01-18T10:59:11Z</dcterms:created>
  <dcterms:modified xsi:type="dcterms:W3CDTF">2026-01-15T09:26:47Z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  <property fmtid="{D5CDD505-2E9C-101B-9397-08002B2CF9AE}" pid="36" name="ContentTypeId">
    <vt:lpwstr>0x010100C8BA4C5AC9E9FD4AA55789AA2263CBBF</vt:lpwstr>
  </property>
  <property fmtid="{D5CDD505-2E9C-101B-9397-08002B2CF9AE}" pid="37" name="MediaServiceImageTags">
    <vt:lpwstr/>
  </property>
  <property fmtid="{D5CDD505-2E9C-101B-9397-08002B2CF9AE}" pid="38" name="MSIP_Label_20ea7001-5c24-4702-a3ac-e436ccb02747_Enabled">
    <vt:lpwstr>true</vt:lpwstr>
  </property>
  <property fmtid="{D5CDD505-2E9C-101B-9397-08002B2CF9AE}" pid="39" name="MSIP_Label_20ea7001-5c24-4702-a3ac-e436ccb02747_SetDate">
    <vt:lpwstr>2023-11-08T06:55:45Z</vt:lpwstr>
  </property>
  <property fmtid="{D5CDD505-2E9C-101B-9397-08002B2CF9AE}" pid="40" name="MSIP_Label_20ea7001-5c24-4702-a3ac-e436ccb02747_Method">
    <vt:lpwstr>Standard</vt:lpwstr>
  </property>
  <property fmtid="{D5CDD505-2E9C-101B-9397-08002B2CF9AE}" pid="41" name="MSIP_Label_20ea7001-5c24-4702-a3ac-e436ccb02747_Name">
    <vt:lpwstr>Confidential</vt:lpwstr>
  </property>
  <property fmtid="{D5CDD505-2E9C-101B-9397-08002B2CF9AE}" pid="42" name="MSIP_Label_20ea7001-5c24-4702-a3ac-e436ccb02747_SiteId">
    <vt:lpwstr>c8823c91-be81-4f89-b024-6c3dd789c106</vt:lpwstr>
  </property>
  <property fmtid="{D5CDD505-2E9C-101B-9397-08002B2CF9AE}" pid="43" name="MSIP_Label_20ea7001-5c24-4702-a3ac-e436ccb02747_ActionId">
    <vt:lpwstr>302ffcd5-89d3-4af6-bf8c-fce2738b9380</vt:lpwstr>
  </property>
  <property fmtid="{D5CDD505-2E9C-101B-9397-08002B2CF9AE}" pid="44" name="MSIP_Label_20ea7001-5c24-4702-a3ac-e436ccb02747_ContentBits">
    <vt:lpwstr>2</vt:lpwstr>
  </property>
</Properties>
</file>